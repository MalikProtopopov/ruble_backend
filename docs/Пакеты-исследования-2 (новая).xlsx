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равнение пакетов" sheetId="1" state="visible" r:id="rId1"/>
    <sheet xmlns:r="http://schemas.openxmlformats.org/officeDocument/2006/relationships" name="Смета" sheetId="2" state="visible" r:id="rId2"/>
    <sheet xmlns:r="http://schemas.openxmlformats.org/officeDocument/2006/relationships" name="Полевой бюджет" sheetId="3" state="visible" r:id="rId3"/>
    <sheet xmlns:r="http://schemas.openxmlformats.org/officeDocument/2006/relationships" name="Гипотезы" sheetId="4" state="visible" r:id="rId4"/>
    <sheet xmlns:r="http://schemas.openxmlformats.org/officeDocument/2006/relationships" name="Роадмап" sheetId="5" state="visible" r:id="rId5"/>
    <sheet xmlns:r="http://schemas.openxmlformats.org/officeDocument/2006/relationships" name="Результа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#,##0&quot; ч&quot;"/>
    <numFmt numFmtId="166" formatCode="#,##0&quot; ₽/ч&quot;"/>
  </numFmts>
  <fonts count="8">
    <font>
      <name val="Calibri"/>
      <color theme="1"/>
      <sz val="11"/>
      <scheme val="minor"/>
    </font>
    <font>
      <name val="Calibri"/>
      <b val="1"/>
      <color rgb="FFFFFFFF"/>
      <sz val="14"/>
    </font>
    <font/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rgb="FF1F2A37"/>
      <sz val="12"/>
    </font>
    <font>
      <name val="Calibri"/>
      <i val="1"/>
      <color rgb="FF555555"/>
      <sz val="10"/>
      <scheme val="minor"/>
    </font>
  </fonts>
  <fills count="6">
    <fill>
      <patternFill/>
    </fill>
    <fill>
      <patternFill patternType="lightGray"/>
    </fill>
    <fill>
      <patternFill patternType="solid">
        <fgColor rgb="FF1F2A37"/>
        <bgColor rgb="FF1F2A37"/>
      </patternFill>
    </fill>
    <fill>
      <patternFill patternType="solid">
        <fgColor rgb="FFC75B12"/>
        <bgColor rgb="FFC75B12"/>
      </patternFill>
    </fill>
    <fill>
      <patternFill patternType="solid">
        <fgColor rgb="FFF4F1EC"/>
        <bgColor rgb="FFF4F1EC"/>
      </patternFill>
    </fill>
    <fill>
      <patternFill patternType="solid">
        <fgColor rgb="FFFBE9D6"/>
        <bgColor rgb="FFFBE9D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  <border>
      <left/>
      <right/>
      <top/>
      <bottom/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164" fontId="5" fillId="0" borderId="4" applyAlignment="1" pivotButton="0" quotePrefix="0" xfId="0">
      <alignment horizontal="left" vertical="top" wrapText="1"/>
    </xf>
    <xf numFmtId="0" fontId="5" fillId="0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5" fillId="0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vertical="top" wrapText="1"/>
    </xf>
    <xf numFmtId="0" fontId="6" fillId="0" borderId="0" pivotButton="0" quotePrefix="0" xfId="0"/>
    <xf numFmtId="164" fontId="5" fillId="0" borderId="4" applyAlignment="1" pivotButton="0" quotePrefix="0" xfId="0">
      <alignment horizontal="center" vertical="center" wrapText="1"/>
    </xf>
    <xf numFmtId="164" fontId="4" fillId="5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left" vertical="center"/>
    </xf>
    <xf numFmtId="165" fontId="5" fillId="0" borderId="4" applyAlignment="1" pivotButton="0" quotePrefix="0" xfId="0">
      <alignment vertical="top" wrapText="1"/>
    </xf>
    <xf numFmtId="166" fontId="5" fillId="4" borderId="4" applyAlignment="1" pivotButton="0" quotePrefix="0" xfId="0">
      <alignment vertical="top" wrapText="1"/>
    </xf>
    <xf numFmtId="165" fontId="5" fillId="0" borderId="4" applyAlignment="1" pivotButton="0" quotePrefix="0" xfId="0">
      <alignment horizontal="center" vertical="center" wrapText="1"/>
    </xf>
    <xf numFmtId="166" fontId="5" fillId="0" borderId="4" applyAlignment="1" pivotButton="0" quotePrefix="0" xfId="0">
      <alignment horizontal="center" vertical="center" wrapText="1"/>
    </xf>
    <xf numFmtId="164" fontId="5" fillId="4" borderId="4" applyAlignment="1" pivotButton="0" quotePrefix="0" xfId="0">
      <alignment horizontal="center" vertical="center" wrapText="1"/>
    </xf>
    <xf numFmtId="164" fontId="4" fillId="4" borderId="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4" customWidth="1" style="26" min="1" max="1"/>
    <col width="45" customWidth="1" style="26" min="2" max="3"/>
    <col width="8.710000000000001" customWidth="1" style="26" min="4" max="26"/>
  </cols>
  <sheetData>
    <row r="1" ht="25.5" customHeight="1" s="26">
      <c r="A1" s="27" t="inlineStr">
        <is>
          <t>Сводная таблица: два пакета исследования (Mediann · 02.06.2026)</t>
        </is>
      </c>
    </row>
    <row r="2" ht="30" customHeight="1" s="26">
      <c r="A2" s="4" t="inlineStr">
        <is>
          <t>Параметр</t>
        </is>
      </c>
      <c r="B2" s="4" t="inlineStr">
        <is>
          <t>Пакет 1 — «Проверка»</t>
        </is>
      </c>
      <c r="C2" s="4" t="inlineStr">
        <is>
          <t>Пакет 2 — «Полный» ⭐</t>
        </is>
      </c>
    </row>
    <row r="3">
      <c r="A3" s="5" t="inlineStr">
        <is>
          <t>Цель</t>
        </is>
      </c>
      <c r="B3" s="10" t="inlineStr">
        <is>
          <t>Быстро проверить ключевые гипотезы, простые прототипы и базовая финмодель</t>
        </is>
      </c>
      <c r="C3" s="10" t="inlineStr">
        <is>
          <t>Глубоко валидировать модель, детальные прототипы и финмодель уровня инвестора</t>
        </is>
      </c>
    </row>
    <row r="4">
      <c r="A4" s="14" t="inlineStr">
        <is>
          <t>Срок</t>
        </is>
      </c>
      <c r="B4" s="11" t="inlineStr">
        <is>
          <t>3–4 недели</t>
        </is>
      </c>
      <c r="C4" s="11" t="inlineStr">
        <is>
          <t>5 недель</t>
        </is>
      </c>
    </row>
    <row r="5">
      <c r="A5" s="5" t="inlineStr">
        <is>
          <t>Бюджет</t>
        </is>
      </c>
      <c r="B5" s="9">
        <f>'Смета'!C29</f>
        <v/>
      </c>
      <c r="C5" s="9">
        <f>'Смета'!D29</f>
        <v/>
      </c>
    </row>
    <row r="6">
      <c r="A6" s="14" t="inlineStr">
        <is>
          <t>Команда</t>
        </is>
      </c>
      <c r="B6" s="11" t="inlineStr">
        <is>
          <t>1–2 человека</t>
        </is>
      </c>
      <c r="C6" s="11" t="inlineStr">
        <is>
          <t>3–5 человек</t>
        </is>
      </c>
    </row>
    <row r="7">
      <c r="A7" s="5" t="inlineStr">
        <is>
          <t>Часы команды</t>
        </is>
      </c>
      <c r="B7" s="28">
        <f>'Смета'!C24</f>
        <v/>
      </c>
      <c r="C7" s="28">
        <f>'Смета'!D24</f>
        <v/>
      </c>
    </row>
    <row r="8">
      <c r="A8" s="14" t="inlineStr">
        <is>
          <t>Ставка</t>
        </is>
      </c>
      <c r="B8" s="29">
        <f>'Смета'!C25</f>
        <v/>
      </c>
      <c r="C8" s="29">
        <f>'Смета'!D25</f>
        <v/>
      </c>
    </row>
    <row r="9">
      <c r="A9" s="5" t="inlineStr">
        <is>
          <t>Интервью с владельцами моек</t>
        </is>
      </c>
      <c r="B9" s="10" t="inlineStr">
        <is>
          <t>8–10</t>
        </is>
      </c>
      <c r="C9" s="10" t="inlineStr">
        <is>
          <t>15–20 (ручные + самообслуживание)</t>
        </is>
      </c>
    </row>
    <row r="10">
      <c r="A10" s="14" t="inlineStr">
        <is>
          <t>Интервью с автовладельцами</t>
        </is>
      </c>
      <c r="B10" s="11" t="inlineStr">
        <is>
          <t>5</t>
        </is>
      </c>
      <c r="C10" s="11" t="inlineStr">
        <is>
          <t>10</t>
        </is>
      </c>
    </row>
    <row r="11">
      <c r="A11" s="5" t="inlineStr">
        <is>
          <t>Количественный опрос</t>
        </is>
      </c>
      <c r="B11" s="10" t="inlineStr">
        <is>
          <t>80+ респондентов</t>
        </is>
      </c>
      <c r="C11" s="10" t="inlineStr">
        <is>
          <t>200–250 респондентов</t>
        </is>
      </c>
    </row>
    <row r="12">
      <c r="A12" s="14" t="inlineStr">
        <is>
          <t>Прототип B2C-приложения</t>
        </is>
      </c>
      <c r="B12" s="11" t="inlineStr">
        <is>
          <t>Ключевой сценарий «поиск → запись → оплата»</t>
        </is>
      </c>
      <c r="C12" s="11" t="inlineStr">
        <is>
          <t>Все экраны (до 30–40)</t>
        </is>
      </c>
    </row>
    <row r="13">
      <c r="A13" s="5" t="inlineStr">
        <is>
          <t>Прототип CRM/аналитики для моек</t>
        </is>
      </c>
      <c r="B13" s="10" t="inlineStr">
        <is>
          <t>Ключевые экраны дашборда</t>
        </is>
      </c>
      <c r="C13" s="10" t="inlineStr">
        <is>
          <t>Полный набор</t>
        </is>
      </c>
    </row>
    <row r="14">
      <c r="A14" s="14" t="inlineStr">
        <is>
          <t>Финмодель (Excel)</t>
        </is>
      </c>
      <c r="B14" s="11" t="inlineStr">
        <is>
          <t>3 сценария, базовая экономика</t>
        </is>
      </c>
      <c r="C14" s="11" t="inlineStr">
        <is>
          <t>+ экономика по сегментам + экспансия СКФО</t>
        </is>
      </c>
    </row>
    <row r="15">
      <c r="A15" s="5" t="inlineStr">
        <is>
          <t>Карты пути (UJM/CJM)</t>
        </is>
      </c>
      <c r="B15" s="10" t="inlineStr">
        <is>
          <t>—</t>
        </is>
      </c>
      <c r="C15" s="10" t="inlineStr">
        <is>
          <t>✓ клиент + мойка</t>
        </is>
      </c>
    </row>
    <row r="16">
      <c r="A16" s="14" t="inlineStr">
        <is>
          <t>Метрики + маркетинг</t>
        </is>
      </c>
      <c r="B16" s="11" t="inlineStr">
        <is>
          <t>—</t>
        </is>
      </c>
      <c r="C16" s="11" t="inlineStr">
        <is>
          <t>✓ дерево метрик, позиционирование, каналы</t>
        </is>
      </c>
    </row>
    <row r="17">
      <c r="A17" s="5" t="inlineStr">
        <is>
          <t>Юр. дорожная карта (152-ФЗ / оператор ПДн)</t>
        </is>
      </c>
      <c r="B17" s="10" t="inlineStr">
        <is>
          <t>базовая отметка</t>
        </is>
      </c>
      <c r="C17" s="10" t="inlineStr">
        <is>
          <t>✓ полный чек-лист</t>
        </is>
      </c>
    </row>
    <row r="18">
      <c r="A18" s="14" t="inlineStr">
        <is>
          <t>Презентация для инвестора</t>
        </is>
      </c>
      <c r="B18" s="11" t="inlineStr">
        <is>
          <t>25–30 слайдов</t>
        </is>
      </c>
      <c r="C18" s="11" t="inlineStr">
        <is>
          <t>50–70 слайдов</t>
        </is>
      </c>
    </row>
    <row r="19">
      <c r="A19" s="5" t="inlineStr">
        <is>
          <t>Проверяемые гипотезы</t>
        </is>
      </c>
      <c r="B19" s="10" t="inlineStr">
        <is>
          <t>ядро — 10 шт. (⭐)</t>
        </is>
      </c>
      <c r="C19" s="10" t="inlineStr">
        <is>
          <t>полный список H1–H15</t>
        </is>
      </c>
    </row>
    <row r="20">
      <c r="A20" s="14" t="inlineStr">
        <is>
          <t>Контрольные точки</t>
        </is>
      </c>
      <c r="B20" s="11" t="inlineStr">
        <is>
          <t>3 (КТ1–КТ3)</t>
        </is>
      </c>
      <c r="C20" s="11" t="inlineStr">
        <is>
          <t>4 (КТ1–КТ4)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1:C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" customWidth="1" style="26" min="1" max="1"/>
    <col width="34" customWidth="1" style="26" min="2" max="2"/>
    <col width="64" customWidth="1" style="26" min="3" max="3"/>
    <col width="13" customWidth="1" style="26" min="4" max="5"/>
    <col width="14" customWidth="1" style="26" min="6" max="6"/>
    <col width="8.710000000000001" customWidth="1" style="26" min="7" max="26"/>
  </cols>
  <sheetData>
    <row r="1" ht="25.5" customHeight="1" s="26">
      <c r="A1" s="27" t="inlineStr">
        <is>
          <t>Смета по этапам · часы по пакетам · ставка 3 500 ₽/ч</t>
        </is>
      </c>
    </row>
    <row r="2" ht="31.5" customHeight="1" s="26">
      <c r="A2" s="4" t="inlineStr">
        <is>
          <t>№</t>
        </is>
      </c>
      <c r="B2" s="4" t="inlineStr">
        <is>
          <t>Этап / направление работ</t>
        </is>
      </c>
      <c r="C2" s="4" t="inlineStr">
        <is>
          <t>Состав работ (задачи)</t>
        </is>
      </c>
      <c r="D2" s="4" t="inlineStr">
        <is>
          <t>Пакет 1, ч</t>
        </is>
      </c>
      <c r="E2" s="4" t="inlineStr">
        <is>
          <t>Пакет 2, ч</t>
        </is>
      </c>
    </row>
    <row r="3">
      <c r="A3" s="16" t="n">
        <v>1</v>
      </c>
      <c r="B3" s="5" t="inlineStr">
        <is>
          <t>Анализ рынка</t>
        </is>
      </c>
      <c r="C3" s="10" t="inlineStr">
        <is>
          <t>Ниша; объём рынка; профиль пользователя; тип рынка; темпы роста; тренды</t>
        </is>
      </c>
      <c r="D3" s="16" t="n">
        <v>3</v>
      </c>
      <c r="E3" s="16" t="n">
        <v>3</v>
      </c>
    </row>
    <row r="4">
      <c r="A4" s="15" t="n">
        <v>2</v>
      </c>
      <c r="B4" s="14" t="inlineStr">
        <is>
          <t>Анализ конкурентов (общий)</t>
        </is>
      </c>
      <c r="C4" s="11" t="inlineStr">
        <is>
          <t>По России; по миру; выделение бенчмарков; ключевые игроки</t>
        </is>
      </c>
      <c r="D4" s="15" t="n">
        <v>2</v>
      </c>
      <c r="E4" s="15" t="n">
        <v>3</v>
      </c>
    </row>
    <row r="5">
      <c r="A5" s="16" t="n">
        <v>3</v>
      </c>
      <c r="B5" s="5" t="inlineStr">
        <is>
          <t>Углублённый анализ конкурентов (до 10)</t>
        </is>
      </c>
      <c r="C5" s="10" t="inlineStr">
        <is>
          <t>Инвестиции/темпы/тип игрока; ЛПР; видение и цели; сильные/слабые стороны; позиционирование; ЦА; дифференциаторы</t>
        </is>
      </c>
      <c r="D5" s="16" t="n">
        <v>4</v>
      </c>
      <c r="E5" s="16" t="n">
        <v>8</v>
      </c>
    </row>
    <row r="6">
      <c r="A6" s="15" t="n">
        <v>4</v>
      </c>
      <c r="B6" s="14" t="inlineStr">
        <is>
          <t>Портреты целевой аудитории</t>
        </is>
      </c>
      <c r="C6" s="11" t="inlineStr">
        <is>
          <t>Тип B2B/B2C; фирмография/демография; проф. деятельность; потреб. поведение; платёжеспособность</t>
        </is>
      </c>
      <c r="D6" s="15" t="n">
        <v>3</v>
      </c>
      <c r="E6" s="15" t="n">
        <v>5</v>
      </c>
    </row>
    <row r="7">
      <c r="A7" s="16" t="n">
        <v>5</v>
      </c>
      <c r="B7" s="5" t="inlineStr">
        <is>
          <t>Тренды на рынке</t>
        </is>
      </c>
      <c r="C7" s="10" t="inlineStr">
        <is>
          <t>Долгосрочные / среднесрочные / краткосрочные</t>
        </is>
      </c>
      <c r="D7" s="16" t="n">
        <v>1</v>
      </c>
      <c r="E7" s="16" t="n">
        <v>2</v>
      </c>
    </row>
    <row r="8">
      <c r="A8" s="15" t="n">
        <v>6</v>
      </c>
      <c r="B8" s="14" t="inlineStr">
        <is>
          <t>Разбор 3–5 ключевых трендов</t>
        </is>
      </c>
      <c r="C8" s="11" t="inlineStr">
        <is>
          <t>Проявление; причины; аудитория; драйверы; возможности; риски; кейсы; бизнес-решение</t>
        </is>
      </c>
      <c r="D8" s="15" t="n">
        <v>2</v>
      </c>
      <c r="E8" s="15" t="n">
        <v>2</v>
      </c>
    </row>
    <row r="9">
      <c r="A9" s="16" t="n">
        <v>7</v>
      </c>
      <c r="B9" s="5" t="inlineStr">
        <is>
          <t>Объём рынка</t>
        </is>
      </c>
      <c r="C9" s="10" t="inlineStr">
        <is>
          <t>TAM; SAM; SOM</t>
        </is>
      </c>
      <c r="D9" s="16" t="n">
        <v>2</v>
      </c>
      <c r="E9" s="16" t="n">
        <v>5</v>
      </c>
    </row>
    <row r="10">
      <c r="A10" s="15" t="n">
        <v>8</v>
      </c>
      <c r="B10" s="14" t="inlineStr">
        <is>
          <t>Бизнес-модель (BMC) и монетизация</t>
        </is>
      </c>
      <c r="C10" s="11" t="inlineStr">
        <is>
          <t>Анализ модели; подбор моделей; элементы; партнёры; деятельность; ценностные предложения; ресурсы; отношения; каналы; сегменты; издержки; потоки доходов; монетизация</t>
        </is>
      </c>
      <c r="D10" s="15" t="n">
        <v>10</v>
      </c>
      <c r="E10" s="15" t="n">
        <v>20</v>
      </c>
    </row>
    <row r="11">
      <c r="A11" s="16" t="n">
        <v>9</v>
      </c>
      <c r="B11" s="5" t="inlineStr">
        <is>
          <t>Рекомендации к функц. требованиям MVP</t>
        </is>
      </c>
      <c r="C11" s="10" t="inlineStr">
        <is>
          <t>Описание функциональных требований к MVP по приоритетам продуктового анализа</t>
        </is>
      </c>
      <c r="D11" s="16" t="n">
        <v>6</v>
      </c>
      <c r="E11" s="16" t="n">
        <v>10</v>
      </c>
    </row>
    <row r="12">
      <c r="A12" s="15" t="n">
        <v>10</v>
      </c>
      <c r="B12" s="14" t="inlineStr">
        <is>
          <t>Проектирование пользовательского опыта</t>
        </is>
      </c>
      <c r="C12" s="11" t="inlineStr">
        <is>
          <t>Сбор референсов для дизайнеров; описание User Flow</t>
        </is>
      </c>
      <c r="D12" s="15" t="n">
        <v>14</v>
      </c>
      <c r="E12" s="15" t="n">
        <v>22</v>
      </c>
    </row>
    <row r="13">
      <c r="A13" s="16" t="n">
        <v>11</v>
      </c>
      <c r="B13" s="5" t="inlineStr">
        <is>
          <t>ТЗ + прототипы, итерация 1</t>
        </is>
      </c>
      <c r="C13" s="10" t="inlineStr">
        <is>
          <t>Документ технического задания; разработка прототипов</t>
        </is>
      </c>
      <c r="D13" s="16" t="n">
        <v>46</v>
      </c>
      <c r="E13" s="16" t="n">
        <v>59</v>
      </c>
    </row>
    <row r="14">
      <c r="A14" s="15" t="n">
        <v>12</v>
      </c>
      <c r="B14" s="14" t="inlineStr">
        <is>
          <t>План и проведение исследования</t>
        </is>
      </c>
      <c r="C14" s="11" t="inlineStr">
        <is>
          <t>План исследования; гайд интервью; рекрут-спич; гипотезы; глубинные интервью 7–20; анкета; опросы; тест прототипов; UJM/CJM</t>
        </is>
      </c>
      <c r="D14" s="15" t="n">
        <v>80</v>
      </c>
      <c r="E14" s="15" t="n">
        <v>140</v>
      </c>
    </row>
    <row r="15">
      <c r="A15" s="16" t="n">
        <v>13</v>
      </c>
      <c r="B15" s="5" t="inlineStr">
        <is>
          <t>ТЗ + прототипы, итерация 2</t>
        </is>
      </c>
      <c r="C15" s="10" t="inlineStr">
        <is>
          <t>Корректировки прототипов; приоритизация функционала; корректировки ТЗ</t>
        </is>
      </c>
      <c r="D15" s="16" t="n">
        <v>10</v>
      </c>
      <c r="E15" s="16" t="n">
        <v>30</v>
      </c>
    </row>
    <row r="16">
      <c r="A16" s="15" t="n">
        <v>14</v>
      </c>
      <c r="B16" s="14" t="inlineStr">
        <is>
          <t>Продуктовые метрики</t>
        </is>
      </c>
      <c r="C16" s="11" t="inlineStr">
        <is>
          <t>Ключевые метрики; дерево метрик</t>
        </is>
      </c>
      <c r="D16" s="15" t="n">
        <v>0</v>
      </c>
      <c r="E16" s="15" t="n">
        <v>6</v>
      </c>
    </row>
    <row r="17">
      <c r="A17" s="16" t="n">
        <v>15</v>
      </c>
      <c r="B17" s="5" t="inlineStr">
        <is>
          <t>Продуктовый маркетинг</t>
        </is>
      </c>
      <c r="C17" s="10" t="inlineStr">
        <is>
          <t>Позиционирование; УТП; каналы привлечения (AARRR); модель роста</t>
        </is>
      </c>
      <c r="D17" s="16" t="n">
        <v>0</v>
      </c>
      <c r="E17" s="16" t="n">
        <v>12</v>
      </c>
    </row>
    <row r="18">
      <c r="A18" s="15" t="n">
        <v>16</v>
      </c>
      <c r="B18" s="14" t="inlineStr">
        <is>
          <t>Итоговый отчёт по проекту</t>
        </is>
      </c>
      <c r="C18" s="11" t="inlineStr">
        <is>
          <t>Отчёт-презентация; финмодель; описание рынка; сегменты ЦА; потребности; приоритизация функционала; объём рынка; сравнение конкурентов; тренды — выводы</t>
        </is>
      </c>
      <c r="D18" s="15" t="n">
        <v>40</v>
      </c>
      <c r="E18" s="15" t="n">
        <v>40</v>
      </c>
    </row>
    <row r="19">
      <c r="A19" s="16" t="inlineStr">
        <is>
          <t>—</t>
        </is>
      </c>
      <c r="B19" s="5" t="inlineStr">
        <is>
          <t>Координация проекта (PM)</t>
        </is>
      </c>
      <c r="C19" s="10" t="inlineStr">
        <is>
          <t>Управление проектом, коммуникации, контроль качества</t>
        </is>
      </c>
      <c r="D19" s="16" t="n">
        <v>17</v>
      </c>
      <c r="E19" s="16" t="n">
        <v>19</v>
      </c>
    </row>
    <row r="20">
      <c r="A20" s="17" t="n"/>
      <c r="B20" s="18" t="inlineStr">
        <is>
          <t>ИТОГО ЧАСОВ</t>
        </is>
      </c>
      <c r="C20" s="18">
        <f>"Часы работы команды по этапам. Сумма: "&amp;D20&amp;" ч (Пакет 1) · "&amp;E20&amp;" ч (Пакет 2). × ставка = стоимость работ (строка «Работа команды»)."</f>
        <v/>
      </c>
      <c r="D20" s="17">
        <f>SUM(D3:D19)</f>
        <v/>
      </c>
      <c r="E20" s="17">
        <f>SUM(E3:E19)</f>
        <v/>
      </c>
    </row>
    <row r="21" ht="15.75" customHeight="1" s="26"/>
    <row r="22" ht="15.75" customHeight="1" s="26">
      <c r="B22" s="19" t="inlineStr">
        <is>
          <t>Расчёт стоимости (ставка 3 500 ₽/ч)</t>
        </is>
      </c>
    </row>
    <row r="23" ht="15.75" customHeight="1" s="26">
      <c r="B23" s="4" t="inlineStr">
        <is>
          <t>Показатель</t>
        </is>
      </c>
      <c r="C23" s="4" t="inlineStr">
        <is>
          <t>Пакет 1</t>
        </is>
      </c>
      <c r="D23" s="4" t="inlineStr">
        <is>
          <t>Пакет 2</t>
        </is>
      </c>
    </row>
    <row r="24" ht="15.75" customHeight="1" s="26">
      <c r="B24" s="10" t="inlineStr">
        <is>
          <t>Часы команды</t>
        </is>
      </c>
      <c r="C24" s="30">
        <f>D20</f>
        <v/>
      </c>
      <c r="D24" s="30">
        <f>E20</f>
        <v/>
      </c>
    </row>
    <row r="25" ht="15.75" customHeight="1" s="26">
      <c r="B25" s="10" t="inlineStr">
        <is>
          <t>Ставка, ₽/ч</t>
        </is>
      </c>
      <c r="C25" s="31" t="n">
        <v>3500</v>
      </c>
      <c r="D25" s="31" t="n">
        <v>3500</v>
      </c>
    </row>
    <row r="26" ht="15.75" customHeight="1" s="26">
      <c r="B26" s="10" t="inlineStr">
        <is>
          <t>Работа команды (часы × ставка)</t>
        </is>
      </c>
      <c r="C26" s="20">
        <f>C24*C25</f>
        <v/>
      </c>
      <c r="D26" s="20">
        <f>D24*D25</f>
        <v/>
      </c>
    </row>
    <row r="27" ht="15.75" customHeight="1" s="26">
      <c r="B27" s="10" t="inlineStr">
        <is>
          <t>Полевой бюджет</t>
        </is>
      </c>
      <c r="C27" s="20">
        <f>'Полевой бюджет'!B6</f>
        <v/>
      </c>
      <c r="D27" s="20">
        <f>'Полевой бюджет'!C6</f>
        <v/>
      </c>
    </row>
    <row r="28" ht="15.75" customHeight="1" s="26">
      <c r="B28" s="10" t="inlineStr">
        <is>
          <t>Инструменты (транскрибация, Figma, рассылки)</t>
        </is>
      </c>
      <c r="C28" s="20" t="n">
        <v>55000</v>
      </c>
      <c r="D28" s="20" t="n">
        <v>70000</v>
      </c>
    </row>
    <row r="29" ht="15.75" customHeight="1" s="26">
      <c r="B29" s="18" t="inlineStr">
        <is>
          <t>ИТОГО к оплате</t>
        </is>
      </c>
      <c r="C29" s="21">
        <f>C26+C27+C28</f>
        <v/>
      </c>
      <c r="D29" s="21">
        <f>D26+D27+D28</f>
        <v/>
      </c>
    </row>
    <row r="30" ht="15.75" customHeight="1" s="26"/>
    <row r="31" ht="15.75" customHeight="1" s="26">
      <c r="B31" s="22">
        <f>"Как читать: колонки «Пакет 1, ч» и «Пакет 2, ч» — часы работы команды по этапам. Их сумма ("&amp;D20&amp;" / "&amp;E20&amp;" ч) × "&amp;TEXT(C25,"#,##0")&amp;" ₽ = стоимость работы команды; плюс полевой бюджет и инструменты = итог к оплате ("&amp;TEXT(C29,"#,##0")&amp;" / "&amp;TEXT(D29,"#,##0")&amp;" ₽). Полевой и инструменты редактируются на своих листах/ячейках; все суммы пересчитываются автоматически. Полевой бюджет — расходный, неизрасходованный остаток возвращается."</f>
        <v/>
      </c>
    </row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2">
    <mergeCell ref="B31:E34"/>
    <mergeCell ref="A1:E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0" customWidth="1" style="26" min="1" max="1"/>
    <col width="16" customWidth="1" style="26" min="2" max="3"/>
    <col width="38" customWidth="1" style="26" min="4" max="4"/>
    <col width="8.710000000000001" customWidth="1" style="26" min="5" max="26"/>
  </cols>
  <sheetData>
    <row r="1" ht="25.5" customHeight="1" s="26">
      <c r="A1" s="27" t="inlineStr">
        <is>
          <t>Полевой бюджет — вовлечение респондентов</t>
        </is>
      </c>
    </row>
    <row r="2" ht="30" customHeight="1" s="26">
      <c r="A2" s="4" t="inlineStr">
        <is>
          <t>Статья</t>
        </is>
      </c>
      <c r="B2" s="4" t="inlineStr">
        <is>
          <t>Пакет 1</t>
        </is>
      </c>
      <c r="C2" s="4" t="inlineStr">
        <is>
          <t>Пакет 2</t>
        </is>
      </c>
      <c r="D2" s="4" t="inlineStr">
        <is>
          <t>Принцип</t>
        </is>
      </c>
    </row>
    <row r="3">
      <c r="A3" s="5" t="inlineStr">
        <is>
          <t>Гостеприимство с владельцами (кофе/обед)</t>
        </is>
      </c>
      <c r="B3" s="20" t="n">
        <v>10000</v>
      </c>
      <c r="C3" s="20" t="n">
        <v>20000</v>
      </c>
      <c r="D3" s="10" t="inlineStr">
        <is>
          <t>без гонораров — встреча как с партнёром</t>
        </is>
      </c>
    </row>
    <row r="4">
      <c r="A4" s="14" t="inlineStr">
        <is>
          <t>Вознаграждение автовладельцам за время</t>
        </is>
      </c>
      <c r="B4" s="32" t="n">
        <v>7500</v>
      </c>
      <c r="C4" s="32" t="n">
        <v>15000</v>
      </c>
      <c r="D4" s="11" t="inlineStr">
        <is>
          <t>1 500 ₽ / встреча</t>
        </is>
      </c>
    </row>
    <row r="5">
      <c r="A5" s="5" t="inlineStr">
        <is>
          <t>Опрос (розыгрыш призов + промокоды)</t>
        </is>
      </c>
      <c r="B5" s="20" t="n">
        <v>22500</v>
      </c>
      <c r="C5" s="20" t="n">
        <v>65000</v>
      </c>
      <c r="D5" s="10" t="inlineStr">
        <is>
          <t>массовый набор</t>
        </is>
      </c>
    </row>
    <row r="6">
      <c r="A6" s="14" t="inlineStr">
        <is>
          <t>ИТОГО</t>
        </is>
      </c>
      <c r="B6" s="33">
        <f>SUM(B3:B5)</f>
        <v/>
      </c>
      <c r="C6" s="33">
        <f>SUM(C3:C5)</f>
        <v/>
      </c>
      <c r="D6" s="11" t="inlineStr">
        <is>
          <t>расходный, остаток возвращается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1:D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26" min="1" max="1"/>
    <col width="12" customWidth="1" style="26" min="2" max="2"/>
    <col width="50" customWidth="1" style="26" min="3" max="3"/>
    <col width="38" customWidth="1" style="26" min="4" max="4"/>
    <col width="6" customWidth="1" style="26" min="5" max="5"/>
    <col width="8.710000000000001" customWidth="1" style="26" min="6" max="26"/>
  </cols>
  <sheetData>
    <row r="1" ht="25.5" customHeight="1" s="26">
      <c r="A1" s="27" t="inlineStr">
        <is>
          <t>Гипотезы (цель исследования). ⭐ — ядро Пакета 1</t>
        </is>
      </c>
    </row>
    <row r="2" ht="30" customHeight="1" s="26">
      <c r="A2" s="4" t="inlineStr">
        <is>
          <t>#</t>
        </is>
      </c>
      <c r="B2" s="4" t="inlineStr">
        <is>
          <t>Блок</t>
        </is>
      </c>
      <c r="C2" s="4" t="inlineStr">
        <is>
          <t>Гипотеза</t>
        </is>
      </c>
      <c r="D2" s="4" t="inlineStr">
        <is>
          <t>Критерий подтверждения</t>
        </is>
      </c>
      <c r="E2" s="4" t="inlineStr">
        <is>
          <t>П1</t>
        </is>
      </c>
    </row>
    <row r="3">
      <c r="A3" s="25" t="inlineStr">
        <is>
          <t>H1</t>
        </is>
      </c>
      <c r="B3" s="10" t="inlineStr">
        <is>
          <t>Спрос B2C</t>
        </is>
      </c>
      <c r="C3" s="10" t="inlineStr">
        <is>
          <t>Важна реалтайм-загруженность / свободные посты при выборе</t>
        </is>
      </c>
      <c r="D3" s="10" t="inlineStr">
        <is>
          <t>≥40% называют значимым</t>
        </is>
      </c>
      <c r="E3" s="16" t="inlineStr">
        <is>
          <t>⭐</t>
        </is>
      </c>
    </row>
    <row r="4">
      <c r="A4" s="24" t="inlineStr">
        <is>
          <t>H2</t>
        </is>
      </c>
      <c r="B4" s="11" t="inlineStr">
        <is>
          <t>Спрос B2C</t>
        </is>
      </c>
      <c r="C4" s="11" t="inlineStr">
        <is>
          <t>Готовы записываться через приложение, а не звонком/Яндекс</t>
        </is>
      </c>
      <c r="D4" s="11" t="inlineStr">
        <is>
          <t>≥30% готовы, проходят сценарий</t>
        </is>
      </c>
      <c r="E4" s="15" t="n"/>
    </row>
    <row r="5">
      <c r="A5" s="25" t="inlineStr">
        <is>
          <t>H3</t>
        </is>
      </c>
      <c r="B5" s="10" t="inlineStr">
        <is>
          <t>Спрос B2C</t>
        </is>
      </c>
      <c r="C5" s="10" t="inlineStr">
        <is>
          <t>Готовы бронировать с оплатой/предоплатой (клин против «брони без оплаты»)</t>
        </is>
      </c>
      <c r="D5" s="10" t="inlineStr">
        <is>
          <t>≥30% готовы к предоплате</t>
        </is>
      </c>
      <c r="E5" s="16" t="inlineStr">
        <is>
          <t>⭐</t>
        </is>
      </c>
    </row>
    <row r="6">
      <c r="A6" s="24" t="inlineStr">
        <is>
          <t>H4</t>
        </is>
      </c>
      <c r="B6" s="11" t="inlineStr">
        <is>
          <t>Спрос B2C</t>
        </is>
      </c>
      <c r="C6" s="11" t="inlineStr">
        <is>
          <t>Бонусы/кешбэк удерживают «внутри платформы»</t>
        </is>
      </c>
      <c r="D6" s="11" t="inlineStr">
        <is>
          <t>≥50% — весомый мотиватор</t>
        </is>
      </c>
      <c r="E6" s="15" t="n"/>
    </row>
    <row r="7">
      <c r="A7" s="25" t="inlineStr">
        <is>
          <t>H5</t>
        </is>
      </c>
      <c r="B7" s="10" t="inlineStr">
        <is>
          <t>Мойки B2B</t>
        </is>
      </c>
      <c r="C7" s="10" t="inlineStr">
        <is>
          <t>Воровство «мимо кассы» — острая боль</t>
        </is>
      </c>
      <c r="D7" s="10" t="inlineStr">
        <is>
          <t>≥5 из 10 без подсказки</t>
        </is>
      </c>
      <c r="E7" s="16" t="inlineStr">
        <is>
          <t>⭐</t>
        </is>
      </c>
    </row>
    <row r="8">
      <c r="A8" s="24" t="inlineStr">
        <is>
          <t>H6</t>
        </is>
      </c>
      <c r="B8" s="11" t="inlineStr">
        <is>
          <t>Мойки B2B</t>
        </is>
      </c>
      <c r="C8" s="11" t="inlineStr">
        <is>
          <t>Ручная разблокировка брони админом — операционная боль</t>
        </is>
      </c>
      <c r="D8" s="11" t="inlineStr">
        <is>
          <t>≥4 из 10 подтверждают</t>
        </is>
      </c>
      <c r="E8" s="15" t="inlineStr">
        <is>
          <t>⭐</t>
        </is>
      </c>
    </row>
    <row r="9">
      <c r="A9" s="25" t="inlineStr">
        <is>
          <t>H7</t>
        </is>
      </c>
      <c r="B9" s="10" t="inlineStr">
        <is>
          <t>Мойки B2B</t>
        </is>
      </c>
      <c r="C9" s="10" t="inlineStr">
        <is>
          <t>У моек уже стоят камеры → низкий порог видеоаналитики</t>
        </is>
      </c>
      <c r="D9" s="10" t="inlineStr">
        <is>
          <t>≥50% имеют камеры</t>
        </is>
      </c>
      <c r="E9" s="16" t="inlineStr">
        <is>
          <t>⭐</t>
        </is>
      </c>
    </row>
    <row r="10">
      <c r="A10" s="24" t="inlineStr">
        <is>
          <t>H8</t>
        </is>
      </c>
      <c r="B10" s="11" t="inlineStr">
        <is>
          <t>Мойки B2B</t>
        </is>
      </c>
      <c r="C10" s="11" t="inlineStr">
        <is>
          <t>Готовы платить за CRM + аналитику загрузки</t>
        </is>
      </c>
      <c r="D10" s="11" t="inlineStr">
        <is>
          <t>цена ≥ якоря 2 100 ₽/место</t>
        </is>
      </c>
      <c r="E10" s="15" t="inlineStr">
        <is>
          <t>⭐</t>
        </is>
      </c>
    </row>
    <row r="11">
      <c r="A11" s="25" t="inlineStr">
        <is>
          <t>H9</t>
        </is>
      </c>
      <c r="B11" s="10" t="inlineStr">
        <is>
          <t>Мойки B2B</t>
        </is>
      </c>
      <c r="C11" s="10" t="inlineStr">
        <is>
          <t>Готовы подключаться к площадке за комиссию 7–10%</t>
        </is>
      </c>
      <c r="D11" s="10" t="inlineStr">
        <is>
          <t>≥4 из 10 согласны</t>
        </is>
      </c>
      <c r="E11" s="16" t="n"/>
    </row>
    <row r="12">
      <c r="A12" s="24" t="inlineStr">
        <is>
          <t>H10</t>
        </is>
      </c>
      <c r="B12" s="11" t="inlineStr">
        <is>
          <t>Мойки B2B</t>
        </is>
      </c>
      <c r="C12" s="11" t="inlineStr">
        <is>
          <t>МСО — более свободная и «болевая» ниша, чем ручные</t>
        </is>
      </c>
      <c r="D12" s="11" t="inlineStr">
        <is>
          <t>боль/готовность у МСО ≥ ручных</t>
        </is>
      </c>
      <c r="E12" s="15" t="inlineStr">
        <is>
          <t>⭐</t>
        </is>
      </c>
    </row>
    <row r="13">
      <c r="A13" s="25" t="inlineStr">
        <is>
          <t>H11</t>
        </is>
      </c>
      <c r="B13" s="10" t="inlineStr">
        <is>
          <t>Продукт</t>
        </is>
      </c>
      <c r="C13" s="10" t="inlineStr">
        <is>
          <t>Заход через B2B-CRM снижает порог подключения</t>
        </is>
      </c>
      <c r="D13" s="10" t="inlineStr">
        <is>
          <t>готовность по CRM-сценарию выше</t>
        </is>
      </c>
      <c r="E13" s="16" t="inlineStr">
        <is>
          <t>⭐</t>
        </is>
      </c>
    </row>
    <row r="14">
      <c r="A14" s="24" t="inlineStr">
        <is>
          <t>H12</t>
        </is>
      </c>
      <c r="B14" s="11" t="inlineStr">
        <is>
          <t>Продукт</t>
        </is>
      </c>
      <c r="C14" s="11" t="inlineStr">
        <is>
          <t>Реалтайм-занятость + прогноз загрузки ценны владельцу (vs ретро-антифрод)</t>
        </is>
      </c>
      <c r="D14" s="11" t="inlineStr">
        <is>
          <t>≥50% видят пользу</t>
        </is>
      </c>
      <c r="E14" s="15" t="n"/>
    </row>
    <row r="15">
      <c r="A15" s="25" t="inlineStr">
        <is>
          <t>H13</t>
        </is>
      </c>
      <c r="B15" s="10" t="inlineStr">
        <is>
          <t>Продукт</t>
        </is>
      </c>
      <c r="C15" s="10" t="inlineStr">
        <is>
          <t>Кросс-моечный агрегатор + самообслуживание — устойчивый ров</t>
        </is>
      </c>
      <c r="D15" s="10" t="inlineStr">
        <is>
          <t>юзеры/владельцы подтверждают ценность</t>
        </is>
      </c>
      <c r="E15" s="16" t="n"/>
    </row>
    <row r="16">
      <c r="A16" s="24" t="inlineStr">
        <is>
          <t>H14</t>
        </is>
      </c>
      <c r="B16" s="11" t="inlineStr">
        <is>
          <t>Продукт</t>
        </is>
      </c>
      <c r="C16" s="11" t="inlineStr">
        <is>
          <t>Канал QR + WhatsApp работает, платная реклама убыточна</t>
        </is>
      </c>
      <c r="D16" s="11" t="inlineStr">
        <is>
          <t>владельцы приходят «по рекомендации»</t>
        </is>
      </c>
      <c r="E16" s="15" t="n"/>
    </row>
    <row r="17">
      <c r="A17" s="25" t="inlineStr">
        <is>
          <t>H15</t>
        </is>
      </c>
      <c r="B17" s="10" t="inlineStr">
        <is>
          <t>Продукт</t>
        </is>
      </c>
      <c r="C17" s="10" t="inlineStr">
        <is>
          <t>Модель работает с СБП/QR и «серым» рынком Дагестана</t>
        </is>
      </c>
      <c r="D17" s="10" t="inlineStr">
        <is>
          <t>≥60% работают через СБП</t>
        </is>
      </c>
      <c r="E17" s="16" t="n"/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1:E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" customWidth="1" style="26" min="1" max="1"/>
    <col width="22" customWidth="1" style="26" min="2" max="2"/>
    <col width="20" customWidth="1" style="26" min="3" max="3"/>
    <col width="40" customWidth="1" style="26" min="4" max="4"/>
    <col width="30" customWidth="1" style="26" min="5" max="5"/>
    <col width="8.710000000000001" customWidth="1" style="26" min="6" max="26"/>
  </cols>
  <sheetData>
    <row r="1" ht="25.5" customHeight="1" s="26">
      <c r="A1" s="27" t="inlineStr">
        <is>
          <t>Роадмап и контрольные точки</t>
        </is>
      </c>
    </row>
    <row r="2" ht="30" customHeight="1" s="26">
      <c r="A2" s="4" t="inlineStr">
        <is>
          <t>КТ</t>
        </is>
      </c>
      <c r="B2" s="4" t="inlineStr">
        <is>
          <t>Пакет 1 (3–4 нед.)</t>
        </is>
      </c>
      <c r="C2" s="4" t="inlineStr">
        <is>
          <t>Пакет 2 (5 нед.)</t>
        </is>
      </c>
      <c r="D2" s="4" t="inlineStr">
        <is>
          <t>Что получаете</t>
        </is>
      </c>
      <c r="E2" s="4" t="inlineStr">
        <is>
          <t>Решение</t>
        </is>
      </c>
    </row>
    <row r="3">
      <c r="A3" s="25" t="inlineStr">
        <is>
          <t>КТ1</t>
        </is>
      </c>
      <c r="B3" s="10" t="inlineStr">
        <is>
          <t>Конец нед. 1</t>
        </is>
      </c>
      <c r="C3" s="10" t="inlineStr">
        <is>
          <t>Конец нед. 1</t>
        </is>
      </c>
      <c r="D3" s="10" t="inlineStr">
        <is>
          <t>План, гайды, анкета, гипотезы</t>
        </is>
      </c>
      <c r="E3" s="10" t="inlineStr">
        <is>
          <t>Утвердить, запускать поле</t>
        </is>
      </c>
    </row>
    <row r="4">
      <c r="A4" s="24" t="inlineStr">
        <is>
          <t>КТ2</t>
        </is>
      </c>
      <c r="B4" s="11" t="inlineStr">
        <is>
          <t>Середина нед. 2</t>
        </is>
      </c>
      <c r="C4" s="11" t="inlineStr">
        <is>
          <t>Конец нед. 3</t>
        </is>
      </c>
      <c r="D4" s="11" t="inlineStr">
        <is>
          <t>Отчёт по первым интервью / по гипотезам + карты пути</t>
        </is>
      </c>
      <c r="E4" s="11" t="inlineStr">
        <is>
          <t>Продолжать / менять фокус</t>
        </is>
      </c>
    </row>
    <row r="5">
      <c r="A5" s="25" t="inlineStr">
        <is>
          <t>КТ3</t>
        </is>
      </c>
      <c r="B5" s="10" t="inlineStr">
        <is>
          <t>Конец нед. 3–4 (сдача)</t>
        </is>
      </c>
      <c r="C5" s="10" t="inlineStr">
        <is>
          <t>Конец нед. 4</t>
        </is>
      </c>
      <c r="D5" s="10" t="inlineStr">
        <is>
          <t>Прототипы B2C + CRM, финмодель</t>
        </is>
      </c>
      <c r="E5" s="10" t="inlineStr">
        <is>
          <t>П1: финал · П2: утвердить дизайн</t>
        </is>
      </c>
    </row>
    <row r="6">
      <c r="A6" s="24" t="inlineStr">
        <is>
          <t>КТ4</t>
        </is>
      </c>
      <c r="B6" s="11" t="inlineStr">
        <is>
          <t>—</t>
        </is>
      </c>
      <c r="C6" s="11" t="inlineStr">
        <is>
          <t>Конец нед. 5 (сдача)</t>
        </is>
      </c>
      <c r="D6" s="11" t="inlineStr">
        <is>
          <t>Финмодель, метрики, маркетинг, юр-карта, презентация, передача</t>
        </is>
      </c>
      <c r="E6" s="11" t="inlineStr">
        <is>
          <t>Идём в разработку / меняем / стоп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1:E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42" customWidth="1" style="26" min="1" max="1"/>
    <col width="22" customWidth="1" style="26" min="2" max="2"/>
    <col width="26" customWidth="1" style="26" min="3" max="3"/>
    <col width="8.710000000000001" customWidth="1" style="26" min="4" max="26"/>
  </cols>
  <sheetData>
    <row r="1" ht="25.5" customHeight="1" s="26">
      <c r="A1" s="27" t="inlineStr">
        <is>
          <t>Что на выходе (результаты)</t>
        </is>
      </c>
    </row>
    <row r="2" ht="30" customHeight="1" s="26">
      <c r="A2" s="4" t="inlineStr">
        <is>
          <t>Результат</t>
        </is>
      </c>
      <c r="B2" s="4" t="inlineStr">
        <is>
          <t>Пакет 1</t>
        </is>
      </c>
      <c r="C2" s="4" t="inlineStr">
        <is>
          <t>Пакет 2</t>
        </is>
      </c>
    </row>
    <row r="3">
      <c r="A3" s="5" t="inlineStr">
        <is>
          <t>Отчёт по гипотезам (✅/❌/⚠️)</t>
        </is>
      </c>
      <c r="B3" s="16" t="inlineStr">
        <is>
          <t>✓</t>
        </is>
      </c>
      <c r="C3" s="16" t="inlineStr">
        <is>
          <t>✓</t>
        </is>
      </c>
    </row>
    <row r="4">
      <c r="A4" s="14" t="inlineStr">
        <is>
          <t>Прототип B2C (Figma)</t>
        </is>
      </c>
      <c r="B4" s="15" t="inlineStr">
        <is>
          <t>ключевой сценарий</t>
        </is>
      </c>
      <c r="C4" s="15" t="inlineStr">
        <is>
          <t>все экраны</t>
        </is>
      </c>
    </row>
    <row r="5">
      <c r="A5" s="5" t="inlineStr">
        <is>
          <t>Прототип CRM для моек (Figma)</t>
        </is>
      </c>
      <c r="B5" s="16" t="inlineStr">
        <is>
          <t>ключевые экраны</t>
        </is>
      </c>
      <c r="C5" s="16" t="inlineStr">
        <is>
          <t>полный</t>
        </is>
      </c>
    </row>
    <row r="6">
      <c r="A6" s="14" t="inlineStr">
        <is>
          <t>Финмодель (Excel)</t>
        </is>
      </c>
      <c r="B6" s="15" t="inlineStr">
        <is>
          <t>базовая, 3 сценария</t>
        </is>
      </c>
      <c r="C6" s="15" t="inlineStr">
        <is>
          <t>+ сегменты + экспансия</t>
        </is>
      </c>
    </row>
    <row r="7">
      <c r="A7" s="5" t="inlineStr">
        <is>
          <t>Бизнес-модель + монетизация</t>
        </is>
      </c>
      <c r="B7" s="16" t="inlineStr">
        <is>
          <t>✓</t>
        </is>
      </c>
      <c r="C7" s="16" t="inlineStr">
        <is>
          <t>✓ (BMC + 3 варианта)</t>
        </is>
      </c>
    </row>
    <row r="8">
      <c r="A8" s="14" t="inlineStr">
        <is>
          <t>Карты пути UJM/CJM</t>
        </is>
      </c>
      <c r="B8" s="15" t="inlineStr">
        <is>
          <t>—</t>
        </is>
      </c>
      <c r="C8" s="15" t="inlineStr">
        <is>
          <t>✓</t>
        </is>
      </c>
    </row>
    <row r="9">
      <c r="A9" s="5" t="inlineStr">
        <is>
          <t>Дерево метрик + маркетинг</t>
        </is>
      </c>
      <c r="B9" s="16" t="inlineStr">
        <is>
          <t>—</t>
        </is>
      </c>
      <c r="C9" s="16" t="inlineStr">
        <is>
          <t>✓</t>
        </is>
      </c>
    </row>
    <row r="10">
      <c r="A10" s="14" t="inlineStr">
        <is>
          <t>Юр. дорожная карта (152-ФЗ / ПДн)</t>
        </is>
      </c>
      <c r="B10" s="15" t="inlineStr">
        <is>
          <t>базовая отметка</t>
        </is>
      </c>
      <c r="C10" s="15" t="inlineStr">
        <is>
          <t>✓ полный чек-лист</t>
        </is>
      </c>
    </row>
    <row r="11">
      <c r="A11" s="5" t="inlineStr">
        <is>
          <t>Презентация для инвестора</t>
        </is>
      </c>
      <c r="B11" s="16" t="inlineStr">
        <is>
          <t>25–30 слайдов</t>
        </is>
      </c>
      <c r="C11" s="16" t="inlineStr">
        <is>
          <t>50–70 слайдов</t>
        </is>
      </c>
    </row>
    <row r="12">
      <c r="A12" s="14" t="inlineStr">
        <is>
          <t>Расшифровки интервью + данные опроса</t>
        </is>
      </c>
      <c r="B12" s="15" t="inlineStr">
        <is>
          <t>✓</t>
        </is>
      </c>
      <c r="C12" s="15" t="inlineStr">
        <is>
          <t>✓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mergeCells count="1">
    <mergeCell ref="A1:C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2026-06-02T19:01:08Z</dcterms:created>
  <dcterms:modified xmlns:dcterms="http://purl.org/dc/terms/" xmlns:xsi="http://www.w3.org/2001/XMLSchema-instance" xsi:type="dcterms:W3CDTF">2026-06-02T19:01:08Z</dcterms:modified>
</cp:coreProperties>
</file>