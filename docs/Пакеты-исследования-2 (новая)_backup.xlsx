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равнение пакетов" sheetId="1" r:id="rId5"/>
    <sheet state="visible" name="Смета" sheetId="2" r:id="rId6"/>
    <sheet state="visible" name="Полевой бюджет" sheetId="3" r:id="rId7"/>
    <sheet state="visible" name="Гипотезы" sheetId="4" r:id="rId8"/>
    <sheet state="visible" name="Роадмап" sheetId="5" r:id="rId9"/>
    <sheet state="visible" name="Результаты" sheetId="6" r:id="rId10"/>
  </sheets>
  <definedNames/>
  <calcPr/>
</workbook>
</file>

<file path=xl/sharedStrings.xml><?xml version="1.0" encoding="utf-8"?>
<sst xmlns="http://schemas.openxmlformats.org/spreadsheetml/2006/main" count="263" uniqueCount="220">
  <si>
    <t>Сводная таблица: два пакета исследования (Mediann · 02.06.2026)</t>
  </si>
  <si>
    <t>Параметр</t>
  </si>
  <si>
    <t>Пакет 1 — «Проверка»</t>
  </si>
  <si>
    <t>Пакет 2 — «Полный» ⭐</t>
  </si>
  <si>
    <t>Цель</t>
  </si>
  <si>
    <t>Быстро проверить ключевые гипотезы, простые прототипы и базовая финмодель</t>
  </si>
  <si>
    <t>Глубоко валидировать модель, детальные прототипы и финмодель уровня инвестора</t>
  </si>
  <si>
    <t>Срок</t>
  </si>
  <si>
    <t>3–4 недели</t>
  </si>
  <si>
    <t>5 недель</t>
  </si>
  <si>
    <t>Бюджет</t>
  </si>
  <si>
    <t>Команда</t>
  </si>
  <si>
    <t>1–2 человека</t>
  </si>
  <si>
    <t>3–5 человек</t>
  </si>
  <si>
    <t>Часы команды</t>
  </si>
  <si>
    <t>Ставка</t>
  </si>
  <si>
    <t>3 500 ₽/ч</t>
  </si>
  <si>
    <t>Интервью с владельцами моек</t>
  </si>
  <si>
    <t>8–10</t>
  </si>
  <si>
    <t>15–20 (ручные + самообслуживание)</t>
  </si>
  <si>
    <t>Интервью с автовладельцами</t>
  </si>
  <si>
    <t>5</t>
  </si>
  <si>
    <t>10</t>
  </si>
  <si>
    <t>Количественный опрос</t>
  </si>
  <si>
    <t>80+ респондентов</t>
  </si>
  <si>
    <t>200–250 респондентов</t>
  </si>
  <si>
    <t>Прототип B2C-приложения</t>
  </si>
  <si>
    <t>Ключевой сценарий «поиск → запись → оплата»</t>
  </si>
  <si>
    <t>Все экраны (до 30–40)</t>
  </si>
  <si>
    <t>Прототип CRM/аналитики для моек</t>
  </si>
  <si>
    <t>Ключевые экраны дашборда</t>
  </si>
  <si>
    <t>Полный набор</t>
  </si>
  <si>
    <t>Финмодель (Excel)</t>
  </si>
  <si>
    <t>3 сценария, базовая экономика</t>
  </si>
  <si>
    <t>+ экономика по сегментам + экспансия СКФО</t>
  </si>
  <si>
    <t>Карты пути (UJM/CJM)</t>
  </si>
  <si>
    <t>—</t>
  </si>
  <si>
    <t>✓ клиент + мойка</t>
  </si>
  <si>
    <t>Метрики + маркетинг</t>
  </si>
  <si>
    <t>✓ дерево метрик, позиционирование, каналы</t>
  </si>
  <si>
    <t>Юр. дорожная карта (152-ФЗ / оператор ПДн)</t>
  </si>
  <si>
    <t>базовая отметка</t>
  </si>
  <si>
    <t>✓ полный чек-лист</t>
  </si>
  <si>
    <t>Презентация для инвестора</t>
  </si>
  <si>
    <t>25–30 слайдов</t>
  </si>
  <si>
    <t>50–70 слайдов</t>
  </si>
  <si>
    <t>Проверяемые гипотезы</t>
  </si>
  <si>
    <t>ядро — 10 шт. (⭐)</t>
  </si>
  <si>
    <t>полный список H1–H15</t>
  </si>
  <si>
    <t>Контрольные точки</t>
  </si>
  <si>
    <t>3 (КТ1–КТ3)</t>
  </si>
  <si>
    <t>4 (КТ1–КТ4)</t>
  </si>
  <si>
    <t>Смета по этапам · часы по пакетам · ставка 3 500 ₽/ч</t>
  </si>
  <si>
    <t>№</t>
  </si>
  <si>
    <t>Этап / направление работ</t>
  </si>
  <si>
    <t>Состав работ (задачи)</t>
  </si>
  <si>
    <t>Пакет 1, ч</t>
  </si>
  <si>
    <t>Пакет 2, ч</t>
  </si>
  <si>
    <t>Анализ рынка</t>
  </si>
  <si>
    <t>Ниша; объём рынка; профиль пользователя; тип рынка; темпы роста; тренды</t>
  </si>
  <si>
    <t>Анализ конкурентов (общий)</t>
  </si>
  <si>
    <t>По России; по миру; выделение бенчмарков; ключевые игроки</t>
  </si>
  <si>
    <t>Углублённый анализ конкурентов (до 10)</t>
  </si>
  <si>
    <t>Инвестиции/темпы/тип игрока; ЛПР; видение и цели; сильные/слабые стороны; позиционирование; ЦА; дифференциаторы</t>
  </si>
  <si>
    <t>Портреты целевой аудитории</t>
  </si>
  <si>
    <t>Тип B2B/B2C; фирмография/демография; проф. деятельность; потреб. поведение; платёжеспособность</t>
  </si>
  <si>
    <t>Тренды на рынке</t>
  </si>
  <si>
    <t>Долгосрочные / среднесрочные / краткосрочные</t>
  </si>
  <si>
    <t>Разбор 3–5 ключевых трендов</t>
  </si>
  <si>
    <t>Проявление; причины; аудитория; драйверы; возможности; риски; кейсы; бизнес-решение</t>
  </si>
  <si>
    <t>Объём рынка</t>
  </si>
  <si>
    <t>TAM; SAM; SOM</t>
  </si>
  <si>
    <t>Бизнес-модель (BMC) и монетизация</t>
  </si>
  <si>
    <t>Анализ модели; подбор моделей; элементы; партнёры; деятельность; ценностные предложения; ресурсы; отношения; каналы; сегменты; издержки; потоки доходов; монетизация</t>
  </si>
  <si>
    <t>Рекомендации к функц. требованиям MVP</t>
  </si>
  <si>
    <t>Описание функциональных требований к MVP по приоритетам продуктового анализа</t>
  </si>
  <si>
    <t>Проектирование пользовательского опыта</t>
  </si>
  <si>
    <t>Сбор референсов для дизайнеров; описание User Flow</t>
  </si>
  <si>
    <t>ТЗ + прототипы, итерация 1</t>
  </si>
  <si>
    <t>Документ технического задания; разработка прототипов</t>
  </si>
  <si>
    <t>План и проведение исследования</t>
  </si>
  <si>
    <t>План исследования; гайд интервью; рекрут-спич; гипотезы; глубинные интервью 7–20; анкета; опросы; тест прототипов; UJM/CJM</t>
  </si>
  <si>
    <t>ТЗ + прототипы, итерация 2</t>
  </si>
  <si>
    <t>Корректировки прототипов; приоритизация функционала; корректировки ТЗ</t>
  </si>
  <si>
    <t>Продуктовые метрики</t>
  </si>
  <si>
    <t>Ключевые метрики; дерево метрик</t>
  </si>
  <si>
    <t>Продуктовый маркетинг</t>
  </si>
  <si>
    <t>Позиционирование; УТП; каналы привлечения (AARRR); модель роста</t>
  </si>
  <si>
    <t>Итоговый отчёт по проекту</t>
  </si>
  <si>
    <t>Отчёт-презентация; финмодель; описание рынка; сегменты ЦА; потребности; приоритизация функционала; объём рынка; сравнение конкурентов; тренды — выводы</t>
  </si>
  <si>
    <t>Координация проекта (PM)</t>
  </si>
  <si>
    <t>Управление проектом, коммуникации, контроль качества</t>
  </si>
  <si>
    <t>ИТОГО ЧАСОВ</t>
  </si>
  <si>
    <t>230 ч — посильно для 1–2 человек за 3–4 недели  ·  380 ч — для 3–5 человек за 5 недель</t>
  </si>
  <si>
    <t>Расчёт стоимости (ставка 3 500 ₽/ч)</t>
  </si>
  <si>
    <t>Показатель</t>
  </si>
  <si>
    <t>Пакет 1</t>
  </si>
  <si>
    <t>Пакет 2</t>
  </si>
  <si>
    <t>Ставка, ₽/ч</t>
  </si>
  <si>
    <t>Работа команды (часы × ставка)</t>
  </si>
  <si>
    <t>Полевой бюджет</t>
  </si>
  <si>
    <t>Инструменты (транскрибация, Figma, рассылки)</t>
  </si>
  <si>
    <t>ИТОГО к оплате</t>
  </si>
  <si>
    <t>Как читать: колонки «Пакет 1, ч» и «Пакет 2, ч» — это часы работы команды по каждому этапу в соответствующем пакете. Их сумма (230 / 380 ч) × 3 500 ₽ = стоимость работы команды; плюс полевой бюджет и инструменты = итог к оплате (900 000 / 1 500 000 ₽). Для справки: та же методология «с нуля» заняла бы 808,5 ч (≈ 2,83 млн ₽) — пакеты компактнее, потому что анализ рынка и конкурентов уже закрыт инвестиционным меморандумом и исследованием Rocket Wash. Полевой бюджет — расходный, неизрасходованный остаток возвращается.</t>
  </si>
  <si>
    <t>Полевой бюджет — вовлечение респондентов</t>
  </si>
  <si>
    <t>Статья</t>
  </si>
  <si>
    <t>Принцип</t>
  </si>
  <si>
    <t>Гостеприимство с владельцами (кофе/обед)</t>
  </si>
  <si>
    <t>10 000 ₽</t>
  </si>
  <si>
    <t>20 000 ₽</t>
  </si>
  <si>
    <t>без гонораров — встреча как с партнёром</t>
  </si>
  <si>
    <t>Вознаграждение автовладельцам за время</t>
  </si>
  <si>
    <t>7 500 ₽</t>
  </si>
  <si>
    <t>15 000 ₽</t>
  </si>
  <si>
    <t>1 500 ₽ / встреча</t>
  </si>
  <si>
    <t>Опрос (розыгрыш призов + промокоды)</t>
  </si>
  <si>
    <t>22 500 ₽</t>
  </si>
  <si>
    <t>65 000 ₽</t>
  </si>
  <si>
    <t>массовый набор</t>
  </si>
  <si>
    <t>ИТОГО</t>
  </si>
  <si>
    <t>40 000 ₽</t>
  </si>
  <si>
    <t>100 000 ₽</t>
  </si>
  <si>
    <t>расходный, остаток возвращается</t>
  </si>
  <si>
    <t>Гипотезы (цель исследования). ⭐ — ядро Пакета 1</t>
  </si>
  <si>
    <t>#</t>
  </si>
  <si>
    <t>Блок</t>
  </si>
  <si>
    <t>Гипотеза</t>
  </si>
  <si>
    <t>Критерий подтверждения</t>
  </si>
  <si>
    <t>П1</t>
  </si>
  <si>
    <t>H1</t>
  </si>
  <si>
    <t>Спрос B2C</t>
  </si>
  <si>
    <t>Важна реалтайм-загруженность / свободные посты при выборе</t>
  </si>
  <si>
    <t>≥40% называют значимым</t>
  </si>
  <si>
    <t>⭐</t>
  </si>
  <si>
    <t>H2</t>
  </si>
  <si>
    <t>Готовы записываться через приложение, а не звонком/Яндекс</t>
  </si>
  <si>
    <t>≥30% готовы, проходят сценарий</t>
  </si>
  <si>
    <t>H3</t>
  </si>
  <si>
    <t>Готовы бронировать с оплатой/предоплатой (клин против «брони без оплаты»)</t>
  </si>
  <si>
    <t>≥30% готовы к предоплате</t>
  </si>
  <si>
    <t>H4</t>
  </si>
  <si>
    <t>Бонусы/кешбэк удерживают «внутри платформы»</t>
  </si>
  <si>
    <t>≥50% — весомый мотиватор</t>
  </si>
  <si>
    <t>H5</t>
  </si>
  <si>
    <t>Мойки B2B</t>
  </si>
  <si>
    <t>Воровство «мимо кассы» — острая боль</t>
  </si>
  <si>
    <t>≥5 из 10 без подсказки</t>
  </si>
  <si>
    <t>H6</t>
  </si>
  <si>
    <t>Ручная разблокировка брони админом — операционная боль</t>
  </si>
  <si>
    <t>≥4 из 10 подтверждают</t>
  </si>
  <si>
    <t>H7</t>
  </si>
  <si>
    <t>У моек уже стоят камеры → низкий порог видеоаналитики</t>
  </si>
  <si>
    <t>≥50% имеют камеры</t>
  </si>
  <si>
    <t>H8</t>
  </si>
  <si>
    <t>Готовы платить за CRM + аналитику загрузки</t>
  </si>
  <si>
    <t>цена ≥ якоря 2 100 ₽/место</t>
  </si>
  <si>
    <t>H9</t>
  </si>
  <si>
    <t>Готовы подключаться к площадке за комиссию 7–10%</t>
  </si>
  <si>
    <t>≥4 из 10 согласны</t>
  </si>
  <si>
    <t>H10</t>
  </si>
  <si>
    <t>МСО — более свободная и «болевая» ниша, чем ручные</t>
  </si>
  <si>
    <t>боль/готовность у МСО ≥ ручных</t>
  </si>
  <si>
    <t>H11</t>
  </si>
  <si>
    <t>Продукт</t>
  </si>
  <si>
    <t>Заход через B2B-CRM снижает порог подключения</t>
  </si>
  <si>
    <t>готовность по CRM-сценарию выше</t>
  </si>
  <si>
    <t>H12</t>
  </si>
  <si>
    <t>Реалтайм-занятость + прогноз загрузки ценны владельцу (vs ретро-антифрод)</t>
  </si>
  <si>
    <t>≥50% видят пользу</t>
  </si>
  <si>
    <t>H13</t>
  </si>
  <si>
    <t>Кросс-моечный агрегатор + самообслуживание — устойчивый ров</t>
  </si>
  <si>
    <t>юзеры/владельцы подтверждают ценность</t>
  </si>
  <si>
    <t>H14</t>
  </si>
  <si>
    <t>Канал QR + WhatsApp работает, платная реклама убыточна</t>
  </si>
  <si>
    <t>владельцы приходят «по рекомендации»</t>
  </si>
  <si>
    <t>H15</t>
  </si>
  <si>
    <t>Модель работает с СБП/QR и «серым» рынком Дагестана</t>
  </si>
  <si>
    <t>≥60% работают через СБП</t>
  </si>
  <si>
    <t>Роадмап и контрольные точки</t>
  </si>
  <si>
    <t>КТ</t>
  </si>
  <si>
    <t>Пакет 1 (3–4 нед.)</t>
  </si>
  <si>
    <t>Пакет 2 (5 нед.)</t>
  </si>
  <si>
    <t>Что получаете</t>
  </si>
  <si>
    <t>Решение</t>
  </si>
  <si>
    <t>КТ1</t>
  </si>
  <si>
    <t>Конец нед. 1</t>
  </si>
  <si>
    <t>План, гайды, анкета, гипотезы</t>
  </si>
  <si>
    <t>Утвердить, запускать поле</t>
  </si>
  <si>
    <t>КТ2</t>
  </si>
  <si>
    <t>Середина нед. 2</t>
  </si>
  <si>
    <t>Конец нед. 3</t>
  </si>
  <si>
    <t>Отчёт по первым интервью / по гипотезам + карты пути</t>
  </si>
  <si>
    <t>Продолжать / менять фокус</t>
  </si>
  <si>
    <t>КТ3</t>
  </si>
  <si>
    <t>Конец нед. 3–4 (сдача)</t>
  </si>
  <si>
    <t>Конец нед. 4</t>
  </si>
  <si>
    <t>Прототипы B2C + CRM, финмодель</t>
  </si>
  <si>
    <t>П1: финал · П2: утвердить дизайн</t>
  </si>
  <si>
    <t>КТ4</t>
  </si>
  <si>
    <t>Конец нед. 5 (сдача)</t>
  </si>
  <si>
    <t>Финмодель, метрики, маркетинг, юр-карта, презентация, передача</t>
  </si>
  <si>
    <t>Идём в разработку / меняем / стоп</t>
  </si>
  <si>
    <t>Что на выходе (результаты)</t>
  </si>
  <si>
    <t>Результат</t>
  </si>
  <si>
    <t>Отчёт по гипотезам (✅/❌/⚠️)</t>
  </si>
  <si>
    <t>✓</t>
  </si>
  <si>
    <t>Прототип B2C (Figma)</t>
  </si>
  <si>
    <t>ключевой сценарий</t>
  </si>
  <si>
    <t>все экраны</t>
  </si>
  <si>
    <t>Прототип CRM для моек (Figma)</t>
  </si>
  <si>
    <t>ключевые экраны</t>
  </si>
  <si>
    <t>полный</t>
  </si>
  <si>
    <t>базовая, 3 сценария</t>
  </si>
  <si>
    <t>+ сегменты + экспансия</t>
  </si>
  <si>
    <t>Бизнес-модель + монетизация</t>
  </si>
  <si>
    <t>✓ (BMC + 3 варианта)</t>
  </si>
  <si>
    <t>Карты пути UJM/CJM</t>
  </si>
  <si>
    <t>Дерево метрик + маркетинг</t>
  </si>
  <si>
    <t>Юр. дорожная карта (152-ФЗ / ПДн)</t>
  </si>
  <si>
    <t>Расшифровки интервью + данные опроса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</si>
</sst>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₽&quot;"/>
  </numFmts>
  <fonts count="8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1F2A37"/>
      <name val="Calibri"/>
    </font>
    <font>
      <i/>
      <sz val="10.0"/>
      <color rgb="FF555555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A37"/>
        <bgColor rgb="FF1F2A37"/>
      </patternFill>
    </fill>
    <fill>
      <patternFill patternType="solid">
        <fgColor rgb="FFC75B12"/>
        <bgColor rgb="FFC75B12"/>
      </patternFill>
    </fill>
    <fill>
      <patternFill patternType="solid">
        <fgColor rgb="FFF4F1EC"/>
        <bgColor rgb="FFF4F1EC"/>
      </patternFill>
    </fill>
    <fill>
      <patternFill patternType="solid">
        <fgColor rgb="FFFBE9D6"/>
        <bgColor rgb="FFFBE9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4" fillId="4" fontId="5" numFmtId="0" xfId="0" applyAlignment="1" applyBorder="1" applyFont="1">
      <alignment shrinkToFit="0" vertical="top" wrapText="1"/>
    </xf>
    <xf borderId="4" fillId="0" fontId="5" numFmtId="164" xfId="0" applyAlignment="1" applyBorder="1" applyFont="1" applyNumberFormat="1">
      <alignment horizontal="left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4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readingOrder="0" shrinkToFit="0" vertical="top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shrinkToFit="0" vertical="top" wrapText="1"/>
    </xf>
    <xf borderId="0" fillId="0" fontId="6" numFmtId="0" xfId="0" applyFont="1"/>
    <xf borderId="4" fillId="0" fontId="5" numFmtId="164" xfId="0" applyAlignment="1" applyBorder="1" applyFont="1" applyNumberFormat="1">
      <alignment horizontal="center" shrinkToFit="0" vertical="center" wrapText="1"/>
    </xf>
    <xf borderId="4" fillId="5" fontId="4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1" fillId="2" fontId="1" numFmtId="0" xfId="0" applyAlignment="1" applyBorder="1" applyFont="1">
      <alignment horizontal="left" readingOrder="0" vertical="center"/>
    </xf>
    <xf borderId="4" fillId="4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4.0"/>
    <col customWidth="1" min="2" max="3" width="45.0"/>
    <col customWidth="1" min="4" max="26" width="8.71"/>
  </cols>
  <sheetData>
    <row r="1" ht="25.5" customHeight="1">
      <c r="A1" s="1" t="s">
        <v>0</v>
      </c>
      <c r="B1" s="2"/>
      <c r="C1" s="3"/>
    </row>
    <row r="2" ht="30.0" customHeight="1">
      <c r="A2" s="4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6" t="s">
        <v>6</v>
      </c>
    </row>
    <row r="4">
      <c r="A4" s="7" t="s">
        <v>7</v>
      </c>
      <c r="B4" s="8" t="s">
        <v>8</v>
      </c>
      <c r="C4" s="8" t="s">
        <v>9</v>
      </c>
    </row>
    <row r="5">
      <c r="A5" s="5" t="s">
        <v>10</v>
      </c>
      <c r="B5" s="9">
        <f>'Смета'!C29</f>
        <v>900000</v>
      </c>
      <c r="C5" s="9">
        <f>'Смета'!D29</f>
        <v>1500000</v>
      </c>
    </row>
    <row r="6">
      <c r="A6" s="7" t="s">
        <v>11</v>
      </c>
      <c r="B6" s="8" t="s">
        <v>12</v>
      </c>
      <c r="C6" s="8" t="s">
        <v>13</v>
      </c>
    </row>
    <row r="7">
      <c r="A7" s="5" t="s">
        <v>14</v>
      </c>
      <c r="B7" s="6">
        <f>'Смета'!C24</f>
        <v>240</v>
      </c>
      <c r="C7" s="6">
        <f>'Смета'!D24</f>
        <v>386</v>
      </c>
    </row>
    <row r="8">
      <c r="A8" s="7" t="s">
        <v>15</v>
      </c>
      <c r="B8" s="8" t="s">
        <v>16</v>
      </c>
      <c r="C8" s="8" t="s">
        <v>16</v>
      </c>
    </row>
    <row r="9">
      <c r="A9" s="5" t="s">
        <v>17</v>
      </c>
      <c r="B9" s="6" t="s">
        <v>18</v>
      </c>
      <c r="C9" s="6" t="s">
        <v>19</v>
      </c>
    </row>
    <row r="10">
      <c r="A10" s="7" t="s">
        <v>20</v>
      </c>
      <c r="B10" s="8" t="s">
        <v>21</v>
      </c>
      <c r="C10" s="8" t="s">
        <v>22</v>
      </c>
    </row>
    <row r="11">
      <c r="A11" s="5" t="s">
        <v>23</v>
      </c>
      <c r="B11" s="10" t="s">
        <v>24</v>
      </c>
      <c r="C11" s="10" t="s">
        <v>25</v>
      </c>
    </row>
    <row r="12">
      <c r="A12" s="7" t="s">
        <v>26</v>
      </c>
      <c r="B12" s="8" t="s">
        <v>27</v>
      </c>
      <c r="C12" s="11" t="s">
        <v>28</v>
      </c>
    </row>
    <row r="13">
      <c r="A13" s="5" t="s">
        <v>29</v>
      </c>
      <c r="B13" s="6" t="s">
        <v>30</v>
      </c>
      <c r="C13" s="6" t="s">
        <v>31</v>
      </c>
    </row>
    <row r="14">
      <c r="A14" s="7" t="s">
        <v>32</v>
      </c>
      <c r="B14" s="8" t="s">
        <v>33</v>
      </c>
      <c r="C14" s="8" t="s">
        <v>34</v>
      </c>
    </row>
    <row r="15">
      <c r="A15" s="5" t="s">
        <v>35</v>
      </c>
      <c r="B15" s="6" t="s">
        <v>36</v>
      </c>
      <c r="C15" s="6" t="s">
        <v>37</v>
      </c>
    </row>
    <row r="16">
      <c r="A16" s="7" t="s">
        <v>38</v>
      </c>
      <c r="B16" s="8" t="s">
        <v>36</v>
      </c>
      <c r="C16" s="8" t="s">
        <v>39</v>
      </c>
    </row>
    <row r="17">
      <c r="A17" s="5" t="s">
        <v>40</v>
      </c>
      <c r="B17" s="6" t="s">
        <v>41</v>
      </c>
      <c r="C17" s="6" t="s">
        <v>42</v>
      </c>
    </row>
    <row r="18">
      <c r="A18" s="7" t="s">
        <v>43</v>
      </c>
      <c r="B18" s="8" t="s">
        <v>44</v>
      </c>
      <c r="C18" s="8" t="s">
        <v>45</v>
      </c>
    </row>
    <row r="19">
      <c r="A19" s="5" t="s">
        <v>46</v>
      </c>
      <c r="B19" s="6" t="s">
        <v>47</v>
      </c>
      <c r="C19" s="6" t="s">
        <v>48</v>
      </c>
    </row>
    <row r="20">
      <c r="A20" s="7" t="s">
        <v>49</v>
      </c>
      <c r="B20" s="8" t="s">
        <v>50</v>
      </c>
      <c r="C20" s="8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64.0"/>
    <col customWidth="1" min="4" max="5" width="13.0"/>
    <col customWidth="1" min="6" max="6" width="14.0"/>
    <col customWidth="1" min="7" max="26" width="8.71"/>
  </cols>
  <sheetData>
    <row r="1" ht="25.5" customHeight="1">
      <c r="A1" s="1" t="s">
        <v>52</v>
      </c>
      <c r="B1" s="2"/>
      <c r="C1" s="2"/>
      <c r="D1" s="2"/>
      <c r="E1" s="3"/>
    </row>
    <row r="2" ht="31.5" customHeight="1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</row>
    <row r="3">
      <c r="A3" s="12">
        <v>1.0</v>
      </c>
      <c r="B3" s="5" t="s">
        <v>58</v>
      </c>
      <c r="C3" s="6" t="s">
        <v>59</v>
      </c>
      <c r="D3" s="12">
        <v>3.0</v>
      </c>
      <c r="E3" s="12">
        <v>3.0</v>
      </c>
    </row>
    <row r="4">
      <c r="A4" s="13">
        <v>2.0</v>
      </c>
      <c r="B4" s="7" t="s">
        <v>60</v>
      </c>
      <c r="C4" s="8" t="s">
        <v>61</v>
      </c>
      <c r="D4" s="13">
        <v>2.0</v>
      </c>
      <c r="E4" s="13">
        <v>3.0</v>
      </c>
    </row>
    <row r="5">
      <c r="A5" s="12">
        <v>3.0</v>
      </c>
      <c r="B5" s="5" t="s">
        <v>62</v>
      </c>
      <c r="C5" s="6" t="s">
        <v>63</v>
      </c>
      <c r="D5" s="12">
        <v>4.0</v>
      </c>
      <c r="E5" s="12">
        <v>8.0</v>
      </c>
    </row>
    <row r="6">
      <c r="A6" s="13">
        <v>4.0</v>
      </c>
      <c r="B6" s="7" t="s">
        <v>64</v>
      </c>
      <c r="C6" s="8" t="s">
        <v>65</v>
      </c>
      <c r="D6" s="13">
        <v>3.0</v>
      </c>
      <c r="E6" s="13">
        <v>5.0</v>
      </c>
    </row>
    <row r="7">
      <c r="A7" s="12">
        <v>5.0</v>
      </c>
      <c r="B7" s="5" t="s">
        <v>66</v>
      </c>
      <c r="C7" s="6" t="s">
        <v>67</v>
      </c>
      <c r="D7" s="12">
        <v>1.0</v>
      </c>
      <c r="E7" s="12">
        <v>2.0</v>
      </c>
    </row>
    <row r="8">
      <c r="A8" s="13">
        <v>6.0</v>
      </c>
      <c r="B8" s="7" t="s">
        <v>68</v>
      </c>
      <c r="C8" s="8" t="s">
        <v>69</v>
      </c>
      <c r="D8" s="13">
        <v>2.0</v>
      </c>
      <c r="E8" s="13">
        <v>2.0</v>
      </c>
    </row>
    <row r="9">
      <c r="A9" s="12">
        <v>7.0</v>
      </c>
      <c r="B9" s="5" t="s">
        <v>70</v>
      </c>
      <c r="C9" s="6" t="s">
        <v>71</v>
      </c>
      <c r="D9" s="12">
        <v>2.0</v>
      </c>
      <c r="E9" s="12">
        <v>5.0</v>
      </c>
    </row>
    <row r="10">
      <c r="A10" s="13">
        <v>8.0</v>
      </c>
      <c r="B10" s="14" t="s">
        <v>72</v>
      </c>
      <c r="C10" s="8" t="s">
        <v>73</v>
      </c>
      <c r="D10" s="13">
        <v>10.0</v>
      </c>
      <c r="E10" s="15">
        <v>20.0</v>
      </c>
    </row>
    <row r="11">
      <c r="A11" s="12">
        <v>9.0</v>
      </c>
      <c r="B11" s="5" t="s">
        <v>74</v>
      </c>
      <c r="C11" s="6" t="s">
        <v>75</v>
      </c>
      <c r="D11" s="12">
        <v>6.0</v>
      </c>
      <c r="E11" s="12">
        <v>10.0</v>
      </c>
    </row>
    <row r="12">
      <c r="A12" s="13">
        <v>10.0</v>
      </c>
      <c r="B12" s="7" t="s">
        <v>76</v>
      </c>
      <c r="C12" s="8" t="s">
        <v>77</v>
      </c>
      <c r="D12" s="13">
        <v>14.0</v>
      </c>
      <c r="E12" s="13">
        <v>22.0</v>
      </c>
    </row>
    <row r="13">
      <c r="A13" s="12">
        <v>11.0</v>
      </c>
      <c r="B13" s="5" t="s">
        <v>78</v>
      </c>
      <c r="C13" s="6" t="s">
        <v>79</v>
      </c>
      <c r="D13" s="12">
        <v>46.0</v>
      </c>
      <c r="E13" s="12">
        <v>59.0</v>
      </c>
    </row>
    <row r="14">
      <c r="A14" s="13">
        <v>12.0</v>
      </c>
      <c r="B14" s="7" t="s">
        <v>80</v>
      </c>
      <c r="C14" s="8" t="s">
        <v>81</v>
      </c>
      <c r="D14" s="13">
        <v>80.0</v>
      </c>
      <c r="E14" s="13">
        <v>140.0</v>
      </c>
    </row>
    <row r="15">
      <c r="A15" s="12">
        <v>13.0</v>
      </c>
      <c r="B15" s="5" t="s">
        <v>82</v>
      </c>
      <c r="C15" s="6" t="s">
        <v>83</v>
      </c>
      <c r="D15" s="16">
        <v>10.0</v>
      </c>
      <c r="E15" s="12">
        <v>30.0</v>
      </c>
    </row>
    <row r="16">
      <c r="A16" s="13">
        <v>14.0</v>
      </c>
      <c r="B16" s="7" t="s">
        <v>84</v>
      </c>
      <c r="C16" s="8" t="s">
        <v>85</v>
      </c>
      <c r="D16" s="13">
        <v>0.0</v>
      </c>
      <c r="E16" s="13">
        <v>6.0</v>
      </c>
    </row>
    <row r="17">
      <c r="A17" s="12">
        <v>15.0</v>
      </c>
      <c r="B17" s="5" t="s">
        <v>86</v>
      </c>
      <c r="C17" s="6" t="s">
        <v>87</v>
      </c>
      <c r="D17" s="12">
        <v>0.0</v>
      </c>
      <c r="E17" s="12">
        <v>12.0</v>
      </c>
    </row>
    <row r="18">
      <c r="A18" s="13">
        <v>16.0</v>
      </c>
      <c r="B18" s="7" t="s">
        <v>88</v>
      </c>
      <c r="C18" s="8" t="s">
        <v>89</v>
      </c>
      <c r="D18" s="13">
        <v>40.0</v>
      </c>
      <c r="E18" s="13">
        <v>40.0</v>
      </c>
    </row>
    <row r="19">
      <c r="A19" s="12" t="s">
        <v>36</v>
      </c>
      <c r="B19" s="5" t="s">
        <v>90</v>
      </c>
      <c r="C19" s="6" t="s">
        <v>91</v>
      </c>
      <c r="D19" s="12">
        <v>17.0</v>
      </c>
      <c r="E19" s="12">
        <v>19.0</v>
      </c>
    </row>
    <row r="20">
      <c r="A20" s="17"/>
      <c r="B20" s="18" t="s">
        <v>92</v>
      </c>
      <c r="C20" s="18" t="s">
        <v>93</v>
      </c>
      <c r="D20" s="17">
        <f t="shared" ref="D20:E20" si="1">SUM(D3:D19)</f>
        <v>240</v>
      </c>
      <c r="E20" s="17">
        <f t="shared" si="1"/>
        <v>386</v>
      </c>
    </row>
    <row r="21" ht="15.75" customHeight="1"/>
    <row r="22" ht="15.75" customHeight="1">
      <c r="B22" s="19" t="s">
        <v>94</v>
      </c>
    </row>
    <row r="23" ht="15.75" customHeight="1">
      <c r="B23" s="4" t="s">
        <v>95</v>
      </c>
      <c r="C23" s="4" t="s">
        <v>96</v>
      </c>
      <c r="D23" s="4" t="s">
        <v>97</v>
      </c>
    </row>
    <row r="24" ht="15.75" customHeight="1">
      <c r="B24" s="6" t="s">
        <v>14</v>
      </c>
      <c r="C24" s="12">
        <f t="shared" ref="C24:D24" si="2">D20</f>
        <v>240</v>
      </c>
      <c r="D24" s="12">
        <f t="shared" si="2"/>
        <v>386</v>
      </c>
    </row>
    <row r="25" ht="15.75" customHeight="1">
      <c r="B25" s="6" t="s">
        <v>98</v>
      </c>
      <c r="C25" s="20">
        <v>3500.0</v>
      </c>
      <c r="D25" s="20">
        <v>3500.0</v>
      </c>
    </row>
    <row r="26" ht="15.75" customHeight="1">
      <c r="B26" s="6" t="s">
        <v>99</v>
      </c>
      <c r="C26" s="20">
        <v>805000.0</v>
      </c>
      <c r="D26" s="20">
        <v>1330000.0</v>
      </c>
    </row>
    <row r="27" ht="15.75" customHeight="1">
      <c r="B27" s="10" t="s">
        <v>100</v>
      </c>
      <c r="C27" s="20">
        <v>40000.0</v>
      </c>
      <c r="D27" s="20">
        <v>100000.0</v>
      </c>
    </row>
    <row r="28" ht="15.75" customHeight="1">
      <c r="B28" s="6" t="s">
        <v>101</v>
      </c>
      <c r="C28" s="20">
        <v>55000.0</v>
      </c>
      <c r="D28" s="20">
        <v>70000.0</v>
      </c>
    </row>
    <row r="29" ht="15.75" customHeight="1">
      <c r="B29" s="18" t="s">
        <v>102</v>
      </c>
      <c r="C29" s="21">
        <v>900000.0</v>
      </c>
      <c r="D29" s="21">
        <v>1500000.0</v>
      </c>
    </row>
    <row r="30" ht="15.75" customHeight="1"/>
    <row r="31" ht="15.75" customHeight="1">
      <c r="B31" s="22" t="s">
        <v>103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31:E3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0"/>
    <col customWidth="1" min="2" max="3" width="16.0"/>
    <col customWidth="1" min="4" max="4" width="38.0"/>
    <col customWidth="1" min="5" max="26" width="8.71"/>
  </cols>
  <sheetData>
    <row r="1" ht="25.5" customHeight="1">
      <c r="A1" s="23" t="s">
        <v>104</v>
      </c>
      <c r="B1" s="2"/>
      <c r="C1" s="2"/>
      <c r="D1" s="3"/>
    </row>
    <row r="2" ht="30.0" customHeight="1">
      <c r="A2" s="4" t="s">
        <v>105</v>
      </c>
      <c r="B2" s="4" t="s">
        <v>96</v>
      </c>
      <c r="C2" s="4" t="s">
        <v>97</v>
      </c>
      <c r="D2" s="4" t="s">
        <v>106</v>
      </c>
    </row>
    <row r="3">
      <c r="A3" s="5" t="s">
        <v>107</v>
      </c>
      <c r="B3" s="12" t="s">
        <v>108</v>
      </c>
      <c r="C3" s="12" t="s">
        <v>109</v>
      </c>
      <c r="D3" s="6" t="s">
        <v>110</v>
      </c>
    </row>
    <row r="4">
      <c r="A4" s="7" t="s">
        <v>111</v>
      </c>
      <c r="B4" s="13" t="s">
        <v>112</v>
      </c>
      <c r="C4" s="13" t="s">
        <v>113</v>
      </c>
      <c r="D4" s="8" t="s">
        <v>114</v>
      </c>
    </row>
    <row r="5">
      <c r="A5" s="5" t="s">
        <v>115</v>
      </c>
      <c r="B5" s="12" t="s">
        <v>116</v>
      </c>
      <c r="C5" s="12" t="s">
        <v>117</v>
      </c>
      <c r="D5" s="6" t="s">
        <v>118</v>
      </c>
    </row>
    <row r="6">
      <c r="A6" s="7" t="s">
        <v>119</v>
      </c>
      <c r="B6" s="24" t="s">
        <v>120</v>
      </c>
      <c r="C6" s="24" t="s">
        <v>121</v>
      </c>
      <c r="D6" s="8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50.0"/>
    <col customWidth="1" min="4" max="4" width="38.0"/>
    <col customWidth="1" min="5" max="5" width="6.0"/>
    <col customWidth="1" min="6" max="26" width="8.71"/>
  </cols>
  <sheetData>
    <row r="1" ht="25.5" customHeight="1">
      <c r="A1" s="1" t="s">
        <v>123</v>
      </c>
      <c r="B1" s="2"/>
      <c r="C1" s="2"/>
      <c r="D1" s="2"/>
      <c r="E1" s="3"/>
    </row>
    <row r="2" ht="30.0" customHeight="1">
      <c r="A2" s="4" t="s">
        <v>124</v>
      </c>
      <c r="B2" s="4" t="s">
        <v>125</v>
      </c>
      <c r="C2" s="4" t="s">
        <v>126</v>
      </c>
      <c r="D2" s="4" t="s">
        <v>127</v>
      </c>
      <c r="E2" s="4" t="s">
        <v>128</v>
      </c>
    </row>
    <row r="3">
      <c r="A3" s="25" t="s">
        <v>129</v>
      </c>
      <c r="B3" s="6" t="s">
        <v>130</v>
      </c>
      <c r="C3" s="6" t="s">
        <v>131</v>
      </c>
      <c r="D3" s="6" t="s">
        <v>132</v>
      </c>
      <c r="E3" s="12" t="s">
        <v>133</v>
      </c>
    </row>
    <row r="4">
      <c r="A4" s="24" t="s">
        <v>134</v>
      </c>
      <c r="B4" s="8" t="s">
        <v>130</v>
      </c>
      <c r="C4" s="8" t="s">
        <v>135</v>
      </c>
      <c r="D4" s="8" t="s">
        <v>136</v>
      </c>
      <c r="E4" s="13"/>
    </row>
    <row r="5">
      <c r="A5" s="25" t="s">
        <v>137</v>
      </c>
      <c r="B5" s="6" t="s">
        <v>130</v>
      </c>
      <c r="C5" s="6" t="s">
        <v>138</v>
      </c>
      <c r="D5" s="6" t="s">
        <v>139</v>
      </c>
      <c r="E5" s="12" t="s">
        <v>133</v>
      </c>
    </row>
    <row r="6">
      <c r="A6" s="24" t="s">
        <v>140</v>
      </c>
      <c r="B6" s="8" t="s">
        <v>130</v>
      </c>
      <c r="C6" s="8" t="s">
        <v>141</v>
      </c>
      <c r="D6" s="8" t="s">
        <v>142</v>
      </c>
      <c r="E6" s="13"/>
    </row>
    <row r="7">
      <c r="A7" s="25" t="s">
        <v>143</v>
      </c>
      <c r="B7" s="6" t="s">
        <v>144</v>
      </c>
      <c r="C7" s="6" t="s">
        <v>145</v>
      </c>
      <c r="D7" s="6" t="s">
        <v>146</v>
      </c>
      <c r="E7" s="12" t="s">
        <v>133</v>
      </c>
    </row>
    <row r="8">
      <c r="A8" s="24" t="s">
        <v>147</v>
      </c>
      <c r="B8" s="8" t="s">
        <v>144</v>
      </c>
      <c r="C8" s="8" t="s">
        <v>148</v>
      </c>
      <c r="D8" s="8" t="s">
        <v>149</v>
      </c>
      <c r="E8" s="13" t="s">
        <v>133</v>
      </c>
    </row>
    <row r="9">
      <c r="A9" s="25" t="s">
        <v>150</v>
      </c>
      <c r="B9" s="6" t="s">
        <v>144</v>
      </c>
      <c r="C9" s="6" t="s">
        <v>151</v>
      </c>
      <c r="D9" s="6" t="s">
        <v>152</v>
      </c>
      <c r="E9" s="12" t="s">
        <v>133</v>
      </c>
    </row>
    <row r="10">
      <c r="A10" s="24" t="s">
        <v>153</v>
      </c>
      <c r="B10" s="8" t="s">
        <v>144</v>
      </c>
      <c r="C10" s="8" t="s">
        <v>154</v>
      </c>
      <c r="D10" s="8" t="s">
        <v>155</v>
      </c>
      <c r="E10" s="13" t="s">
        <v>133</v>
      </c>
    </row>
    <row r="11">
      <c r="A11" s="25" t="s">
        <v>156</v>
      </c>
      <c r="B11" s="6" t="s">
        <v>144</v>
      </c>
      <c r="C11" s="6" t="s">
        <v>157</v>
      </c>
      <c r="D11" s="6" t="s">
        <v>158</v>
      </c>
      <c r="E11" s="12"/>
    </row>
    <row r="12">
      <c r="A12" s="24" t="s">
        <v>159</v>
      </c>
      <c r="B12" s="8" t="s">
        <v>144</v>
      </c>
      <c r="C12" s="8" t="s">
        <v>160</v>
      </c>
      <c r="D12" s="8" t="s">
        <v>161</v>
      </c>
      <c r="E12" s="13" t="s">
        <v>133</v>
      </c>
    </row>
    <row r="13">
      <c r="A13" s="25" t="s">
        <v>162</v>
      </c>
      <c r="B13" s="6" t="s">
        <v>163</v>
      </c>
      <c r="C13" s="6" t="s">
        <v>164</v>
      </c>
      <c r="D13" s="6" t="s">
        <v>165</v>
      </c>
      <c r="E13" s="12" t="s">
        <v>133</v>
      </c>
    </row>
    <row r="14">
      <c r="A14" s="24" t="s">
        <v>166</v>
      </c>
      <c r="B14" s="8" t="s">
        <v>163</v>
      </c>
      <c r="C14" s="8" t="s">
        <v>167</v>
      </c>
      <c r="D14" s="8" t="s">
        <v>168</v>
      </c>
      <c r="E14" s="13"/>
    </row>
    <row r="15">
      <c r="A15" s="25" t="s">
        <v>169</v>
      </c>
      <c r="B15" s="6" t="s">
        <v>163</v>
      </c>
      <c r="C15" s="6" t="s">
        <v>170</v>
      </c>
      <c r="D15" s="6" t="s">
        <v>171</v>
      </c>
      <c r="E15" s="12"/>
    </row>
    <row r="16">
      <c r="A16" s="24" t="s">
        <v>172</v>
      </c>
      <c r="B16" s="8" t="s">
        <v>163</v>
      </c>
      <c r="C16" s="8" t="s">
        <v>173</v>
      </c>
      <c r="D16" s="8" t="s">
        <v>174</v>
      </c>
      <c r="E16" s="13"/>
    </row>
    <row r="17">
      <c r="A17" s="25" t="s">
        <v>175</v>
      </c>
      <c r="B17" s="6" t="s">
        <v>163</v>
      </c>
      <c r="C17" s="6" t="s">
        <v>176</v>
      </c>
      <c r="D17" s="6" t="s">
        <v>177</v>
      </c>
      <c r="E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20.0"/>
    <col customWidth="1" min="4" max="4" width="40.0"/>
    <col customWidth="1" min="5" max="5" width="30.0"/>
    <col customWidth="1" min="6" max="26" width="8.71"/>
  </cols>
  <sheetData>
    <row r="1" ht="25.5" customHeight="1">
      <c r="A1" s="1" t="s">
        <v>178</v>
      </c>
      <c r="B1" s="2"/>
      <c r="C1" s="2"/>
      <c r="D1" s="2"/>
      <c r="E1" s="3"/>
    </row>
    <row r="2" ht="30.0" customHeight="1">
      <c r="A2" s="4" t="s">
        <v>179</v>
      </c>
      <c r="B2" s="4" t="s">
        <v>180</v>
      </c>
      <c r="C2" s="4" t="s">
        <v>181</v>
      </c>
      <c r="D2" s="4" t="s">
        <v>182</v>
      </c>
      <c r="E2" s="4" t="s">
        <v>183</v>
      </c>
    </row>
    <row r="3">
      <c r="A3" s="25" t="s">
        <v>184</v>
      </c>
      <c r="B3" s="6" t="s">
        <v>185</v>
      </c>
      <c r="C3" s="6" t="s">
        <v>185</v>
      </c>
      <c r="D3" s="6" t="s">
        <v>186</v>
      </c>
      <c r="E3" s="6" t="s">
        <v>187</v>
      </c>
    </row>
    <row r="4">
      <c r="A4" s="24" t="s">
        <v>188</v>
      </c>
      <c r="B4" s="8" t="s">
        <v>189</v>
      </c>
      <c r="C4" s="8" t="s">
        <v>190</v>
      </c>
      <c r="D4" s="8" t="s">
        <v>191</v>
      </c>
      <c r="E4" s="8" t="s">
        <v>192</v>
      </c>
    </row>
    <row r="5">
      <c r="A5" s="25" t="s">
        <v>193</v>
      </c>
      <c r="B5" s="6" t="s">
        <v>194</v>
      </c>
      <c r="C5" s="6" t="s">
        <v>195</v>
      </c>
      <c r="D5" s="6" t="s">
        <v>196</v>
      </c>
      <c r="E5" s="6" t="s">
        <v>197</v>
      </c>
    </row>
    <row r="6">
      <c r="A6" s="24" t="s">
        <v>198</v>
      </c>
      <c r="B6" s="8" t="s">
        <v>36</v>
      </c>
      <c r="C6" s="8" t="s">
        <v>199</v>
      </c>
      <c r="D6" s="8" t="s">
        <v>200</v>
      </c>
      <c r="E6" s="8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2.0"/>
    <col customWidth="1" min="2" max="2" width="22.0"/>
    <col customWidth="1" min="3" max="3" width="26.0"/>
    <col customWidth="1" min="4" max="26" width="8.71"/>
  </cols>
  <sheetData>
    <row r="1" ht="25.5" customHeight="1">
      <c r="A1" s="1" t="s">
        <v>202</v>
      </c>
      <c r="B1" s="2"/>
      <c r="C1" s="3"/>
    </row>
    <row r="2" ht="30.0" customHeight="1">
      <c r="A2" s="4" t="s">
        <v>203</v>
      </c>
      <c r="B2" s="4" t="s">
        <v>96</v>
      </c>
      <c r="C2" s="4" t="s">
        <v>97</v>
      </c>
    </row>
    <row r="3">
      <c r="A3" s="5" t="s">
        <v>204</v>
      </c>
      <c r="B3" s="12" t="s">
        <v>205</v>
      </c>
      <c r="C3" s="12" t="s">
        <v>205</v>
      </c>
    </row>
    <row r="4">
      <c r="A4" s="7" t="s">
        <v>206</v>
      </c>
      <c r="B4" s="13" t="s">
        <v>207</v>
      </c>
      <c r="C4" s="13" t="s">
        <v>208</v>
      </c>
    </row>
    <row r="5">
      <c r="A5" s="5" t="s">
        <v>209</v>
      </c>
      <c r="B5" s="12" t="s">
        <v>210</v>
      </c>
      <c r="C5" s="12" t="s">
        <v>211</v>
      </c>
    </row>
    <row r="6">
      <c r="A6" s="7" t="s">
        <v>32</v>
      </c>
      <c r="B6" s="13" t="s">
        <v>212</v>
      </c>
      <c r="C6" s="13" t="s">
        <v>213</v>
      </c>
    </row>
    <row r="7">
      <c r="A7" s="5" t="s">
        <v>214</v>
      </c>
      <c r="B7" s="12" t="s">
        <v>205</v>
      </c>
      <c r="C7" s="12" t="s">
        <v>215</v>
      </c>
    </row>
    <row r="8">
      <c r="A8" s="7" t="s">
        <v>216</v>
      </c>
      <c r="B8" s="13" t="s">
        <v>36</v>
      </c>
      <c r="C8" s="13" t="s">
        <v>205</v>
      </c>
    </row>
    <row r="9">
      <c r="A9" s="5" t="s">
        <v>217</v>
      </c>
      <c r="B9" s="12" t="s">
        <v>36</v>
      </c>
      <c r="C9" s="12" t="s">
        <v>205</v>
      </c>
    </row>
    <row r="10">
      <c r="A10" s="7" t="s">
        <v>218</v>
      </c>
      <c r="B10" s="13" t="s">
        <v>41</v>
      </c>
      <c r="C10" s="13" t="s">
        <v>42</v>
      </c>
    </row>
    <row r="11">
      <c r="A11" s="5" t="s">
        <v>43</v>
      </c>
      <c r="B11" s="12" t="s">
        <v>44</v>
      </c>
      <c r="C11" s="12" t="s">
        <v>45</v>
      </c>
    </row>
    <row r="12">
      <c r="A12" s="7" t="s">
        <v>219</v>
      </c>
      <c r="B12" s="13" t="s">
        <v>205</v>
      </c>
      <c r="C12" s="13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